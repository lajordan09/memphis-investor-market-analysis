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6e583e0e059098/"/>
    </mc:Choice>
  </mc:AlternateContent>
  <xr:revisionPtr revIDLastSave="965" documentId="8_{E7EF87EC-63AE-4324-B05D-FE87433F348F}" xr6:coauthVersionLast="47" xr6:coauthVersionMax="47" xr10:uidLastSave="{C4CFEDE9-5844-4A89-98B8-5248651D76A3}"/>
  <bookViews>
    <workbookView xWindow="28680" yWindow="-120" windowWidth="29040" windowHeight="15720" xr2:uid="{A297889F-1111-426C-837B-D9E4C34A92C3}"/>
  </bookViews>
  <sheets>
    <sheet name="Investor vs Owner Occupied" sheetId="2" r:id="rId1"/>
    <sheet name="Avg Sales Price" sheetId="3" r:id="rId2"/>
    <sheet name="Avg. Investor Home Size" sheetId="4" r:id="rId3"/>
    <sheet name="Avg. Bedrooms" sheetId="5" r:id="rId4"/>
    <sheet name="Avg Year Built" sheetId="6" r:id="rId5"/>
    <sheet name="Avg. Sales Price " sheetId="7" r:id="rId6"/>
    <sheet name="Avg Price per SQFT" sheetId="8" r:id="rId7"/>
    <sheet name="Dashboard" sheetId="9" r:id="rId8"/>
    <sheet name="Data" sheetId="1" r:id="rId9"/>
  </sheets>
  <calcPr calcId="191029"/>
  <pivotCaches>
    <pivotCache cacheId="0" r:id="rId10"/>
    <pivotCache cacheId="1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2" i="1"/>
</calcChain>
</file>

<file path=xl/sharedStrings.xml><?xml version="1.0" encoding="utf-8"?>
<sst xmlns="http://schemas.openxmlformats.org/spreadsheetml/2006/main" count="248" uniqueCount="132">
  <si>
    <t>Property_ID</t>
  </si>
  <si>
    <t>ZIP_Code</t>
  </si>
  <si>
    <t>Sale_Price</t>
  </si>
  <si>
    <t>Bedrooms</t>
  </si>
  <si>
    <t>Bathrooms</t>
  </si>
  <si>
    <t>Sq_Ft</t>
  </si>
  <si>
    <t>Year_Built</t>
  </si>
  <si>
    <t>Sale_Date</t>
  </si>
  <si>
    <t>Buyer_Type</t>
  </si>
  <si>
    <t>MEM001</t>
  </si>
  <si>
    <t>Investor</t>
  </si>
  <si>
    <t>MEM002</t>
  </si>
  <si>
    <t>Owner Occupant</t>
  </si>
  <si>
    <t>MEM003</t>
  </si>
  <si>
    <t>MEM004</t>
  </si>
  <si>
    <t>MEM005</t>
  </si>
  <si>
    <t>MEM006</t>
  </si>
  <si>
    <t>MEM007</t>
  </si>
  <si>
    <t>MEM008</t>
  </si>
  <si>
    <t>MEM009</t>
  </si>
  <si>
    <t>MEM010</t>
  </si>
  <si>
    <t>MEM011</t>
  </si>
  <si>
    <t>MEM012</t>
  </si>
  <si>
    <t>MEM013</t>
  </si>
  <si>
    <t>MEM014</t>
  </si>
  <si>
    <t>MEM015</t>
  </si>
  <si>
    <t>MEM016</t>
  </si>
  <si>
    <t>MEM017</t>
  </si>
  <si>
    <t>MEM018</t>
  </si>
  <si>
    <t>MEM019</t>
  </si>
  <si>
    <t>MEM020</t>
  </si>
  <si>
    <t>MEM021</t>
  </si>
  <si>
    <t>MEM022</t>
  </si>
  <si>
    <t>MEM023</t>
  </si>
  <si>
    <t>MEM024</t>
  </si>
  <si>
    <t>MEM025</t>
  </si>
  <si>
    <t>MEM026</t>
  </si>
  <si>
    <t>MEM027</t>
  </si>
  <si>
    <t>MEM028</t>
  </si>
  <si>
    <t>MEM029</t>
  </si>
  <si>
    <t>MEM030</t>
  </si>
  <si>
    <t>MEM031</t>
  </si>
  <si>
    <t>MEM032</t>
  </si>
  <si>
    <t>MEM033</t>
  </si>
  <si>
    <t>MEM034</t>
  </si>
  <si>
    <t>MEM035</t>
  </si>
  <si>
    <t>MEM036</t>
  </si>
  <si>
    <t>MEM037</t>
  </si>
  <si>
    <t>MEM038</t>
  </si>
  <si>
    <t>MEM039</t>
  </si>
  <si>
    <t>MEM040</t>
  </si>
  <si>
    <t>MEM041</t>
  </si>
  <si>
    <t>MEM042</t>
  </si>
  <si>
    <t>MEM043</t>
  </si>
  <si>
    <t>MEM044</t>
  </si>
  <si>
    <t>MEM045</t>
  </si>
  <si>
    <t>MEM046</t>
  </si>
  <si>
    <t>MEM047</t>
  </si>
  <si>
    <t>MEM048</t>
  </si>
  <si>
    <t>MEM049</t>
  </si>
  <si>
    <t>MEM050</t>
  </si>
  <si>
    <t>MEM051</t>
  </si>
  <si>
    <t>MEM052</t>
  </si>
  <si>
    <t>MEM053</t>
  </si>
  <si>
    <t>MEM054</t>
  </si>
  <si>
    <t>MEM055</t>
  </si>
  <si>
    <t>MEM056</t>
  </si>
  <si>
    <t>MEM057</t>
  </si>
  <si>
    <t>MEM058</t>
  </si>
  <si>
    <t>MEM059</t>
  </si>
  <si>
    <t>MEM060</t>
  </si>
  <si>
    <t>MEM061</t>
  </si>
  <si>
    <t>MEM062</t>
  </si>
  <si>
    <t>MEM063</t>
  </si>
  <si>
    <t>MEM064</t>
  </si>
  <si>
    <t>MEM065</t>
  </si>
  <si>
    <t>MEM066</t>
  </si>
  <si>
    <t>MEM067</t>
  </si>
  <si>
    <t>MEM068</t>
  </si>
  <si>
    <t>MEM069</t>
  </si>
  <si>
    <t>MEM070</t>
  </si>
  <si>
    <t>MEM071</t>
  </si>
  <si>
    <t>MEM072</t>
  </si>
  <si>
    <t>MEM073</t>
  </si>
  <si>
    <t>MEM074</t>
  </si>
  <si>
    <t>MEM075</t>
  </si>
  <si>
    <t>MEM076</t>
  </si>
  <si>
    <t>MEM077</t>
  </si>
  <si>
    <t>MEM078</t>
  </si>
  <si>
    <t>MEM079</t>
  </si>
  <si>
    <t>MEM080</t>
  </si>
  <si>
    <t>MEM081</t>
  </si>
  <si>
    <t>MEM082</t>
  </si>
  <si>
    <t>MEM083</t>
  </si>
  <si>
    <t>MEM084</t>
  </si>
  <si>
    <t>MEM085</t>
  </si>
  <si>
    <t>MEM086</t>
  </si>
  <si>
    <t>MEM087</t>
  </si>
  <si>
    <t>MEM088</t>
  </si>
  <si>
    <t>MEM089</t>
  </si>
  <si>
    <t>MEM090</t>
  </si>
  <si>
    <t>MEM091</t>
  </si>
  <si>
    <t>MEM092</t>
  </si>
  <si>
    <t>MEM093</t>
  </si>
  <si>
    <t>MEM094</t>
  </si>
  <si>
    <t>MEM095</t>
  </si>
  <si>
    <t>MEM096</t>
  </si>
  <si>
    <t>MEM097</t>
  </si>
  <si>
    <t>MEM098</t>
  </si>
  <si>
    <t>MEM099</t>
  </si>
  <si>
    <t>MEM100</t>
  </si>
  <si>
    <t>Row Labels</t>
  </si>
  <si>
    <t>Grand Total</t>
  </si>
  <si>
    <t/>
  </si>
  <si>
    <t>ZIP</t>
  </si>
  <si>
    <t xml:space="preserve">Investor vs Owner </t>
  </si>
  <si>
    <t>Occupant</t>
  </si>
  <si>
    <t>Average of Sale Price</t>
  </si>
  <si>
    <t>ZIP Code</t>
  </si>
  <si>
    <t>Avg. Investor Home Size</t>
  </si>
  <si>
    <t>Average # of  Bedrooms</t>
  </si>
  <si>
    <t>Average Year_Built</t>
  </si>
  <si>
    <t>Average Sale_Price</t>
  </si>
  <si>
    <t>Average Sq_Ft</t>
  </si>
  <si>
    <t>Price_Per_Sq_Ft</t>
  </si>
  <si>
    <t>Average of Price_Per_Sq_Ft</t>
  </si>
  <si>
    <t>Memphis Investor Market Analysis</t>
  </si>
  <si>
    <r>
      <rPr>
        <b/>
        <sz val="20"/>
        <color theme="1"/>
        <rFont val="Aptos Narrow"/>
        <family val="2"/>
        <scheme val="minor"/>
      </rPr>
      <t>100</t>
    </r>
    <r>
      <rPr>
        <sz val="11"/>
        <color theme="1"/>
        <rFont val="Aptos Narrow"/>
        <family val="2"/>
        <scheme val="minor"/>
      </rPr>
      <t xml:space="preserve">
</t>
    </r>
    <r>
      <rPr>
        <sz val="10"/>
        <color theme="1"/>
        <rFont val="Aptos Narrow"/>
        <family val="2"/>
        <scheme val="minor"/>
      </rPr>
      <t>Transactions</t>
    </r>
  </si>
  <si>
    <r>
      <rPr>
        <b/>
        <sz val="20"/>
        <color theme="1"/>
        <rFont val="Aptos Narrow"/>
        <family val="2"/>
        <scheme val="minor"/>
      </rPr>
      <t>59%</t>
    </r>
    <r>
      <rPr>
        <sz val="11"/>
        <color theme="1"/>
        <rFont val="Aptos Narrow"/>
        <family val="2"/>
        <scheme val="minor"/>
      </rPr>
      <t xml:space="preserve">
</t>
    </r>
    <r>
      <rPr>
        <sz val="10"/>
        <color theme="1"/>
        <rFont val="Aptos Narrow"/>
        <family val="2"/>
        <scheme val="minor"/>
      </rPr>
      <t>Investor Share</t>
    </r>
  </si>
  <si>
    <r>
      <rPr>
        <b/>
        <sz val="20"/>
        <color theme="1"/>
        <rFont val="Aptos Narrow"/>
        <family val="2"/>
        <scheme val="minor"/>
      </rPr>
      <t>$158,941</t>
    </r>
    <r>
      <rPr>
        <sz val="11"/>
        <color theme="1"/>
        <rFont val="Aptos Narrow"/>
        <family val="2"/>
        <scheme val="minor"/>
      </rPr>
      <t xml:space="preserve">
</t>
    </r>
    <r>
      <rPr>
        <sz val="10"/>
        <color theme="1"/>
        <rFont val="Aptos Narrow"/>
        <family val="2"/>
        <scheme val="minor"/>
      </rPr>
      <t>Avg. Investor Purchase</t>
    </r>
  </si>
  <si>
    <r>
      <rPr>
        <b/>
        <sz val="20"/>
        <color theme="1"/>
        <rFont val="Aptos Narrow"/>
        <family val="2"/>
        <scheme val="minor"/>
      </rPr>
      <t>$106.18</t>
    </r>
    <r>
      <rPr>
        <sz val="11"/>
        <color theme="1"/>
        <rFont val="Aptos Narrow"/>
        <family val="2"/>
        <scheme val="minor"/>
      </rPr>
      <t xml:space="preserve">
</t>
    </r>
    <r>
      <rPr>
        <sz val="10"/>
        <color theme="1"/>
        <rFont val="Aptos Narrow"/>
        <family val="2"/>
        <scheme val="minor"/>
      </rPr>
      <t>Avg. Price / Sq. Ft.</t>
    </r>
  </si>
  <si>
    <t>Memphis, TN | Single-Family Properties | Synthetic Dataset | 100 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</si>
</sst>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[Red]&quot;$&quot;#,##0.00"/>
  </numFmts>
  <fonts count="5" x14ac:knownFonts="1">
    <font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1"/>
      <color theme="3" tint="9.9978637043366805E-2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horizontal="right"/>
    </xf>
    <xf numFmtId="164" fontId="0" fillId="0" borderId="0" xfId="0" pivotButton="1" applyNumberForma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0" fillId="2" borderId="0" xfId="0" applyFill="1" applyAlignment="1">
      <alignment horizontal="center" wrapText="1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21">
    <dxf>
      <numFmt numFmtId="1" formatCode="0"/>
    </dxf>
    <dxf>
      <numFmt numFmtId="1" formatCode="0"/>
    </dxf>
    <dxf>
      <numFmt numFmtId="164" formatCode="&quot;$&quot;#,##0.00;[Red]&quot;$&quot;#,##0.00"/>
    </dxf>
    <dxf>
      <numFmt numFmtId="164" formatCode="&quot;$&quot;#,##0.00;[Red]&quot;$&quot;#,##0.00"/>
    </dxf>
    <dxf>
      <numFmt numFmtId="164" formatCode="&quot;$&quot;#,##0.00;[Red]&quot;$&quot;#,##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&quot;$&quot;#,##0.00;[Red]&quot;$&quot;#,##0.00"/>
    </dxf>
    <dxf>
      <numFmt numFmtId="164" formatCode="&quot;$&quot;#,##0.00;[Red]&quot;$&quot;#,##0.00"/>
    </dxf>
    <dxf>
      <numFmt numFmtId="164" formatCode="&quot;$&quot;#,##0.00;[Red]&quot;$&quot;#,##0.00"/>
    </dxf>
    <dxf>
      <numFmt numFmtId="164" formatCode="&quot;$&quot;#,##0.00;[Red]&quot;$&quot;#,##0.00"/>
    </dxf>
    <dxf>
      <numFmt numFmtId="164" formatCode="&quot;$&quot;#,##0.00;[Red]&quot;$&quot;#,##0.00"/>
    </dxf>
    <dxf>
      <numFmt numFmtId="164" formatCode="&quot;$&quot;#,##0.00;[Red]&quot;$&quot;#,##0.00"/>
    </dxf>
    <dxf>
      <alignment horizontal="righ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[Memphis_Investor_Data.xlsx]Investor vs Owner Occupied!PivotTable1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Investor vs. Owner-Occupant Purchases by ZIP Code</a:t>
            </a:r>
            <a:endParaRPr lang="en-US"/>
          </a:p>
        </c:rich>
      </c:tx>
      <c:layout>
        <c:manualLayout>
          <c:xMode val="edge"/>
          <c:yMode val="edge"/>
          <c:x val="0.11223600174978128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'Investor vs Owner Occupied'!$B$3:$B$4</c:f>
              <c:strCache>
                <c:ptCount val="1"/>
                <c:pt idx="0">
                  <c:v>Investor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'Investor vs Owner Occupied'!$A$5:$A$10</c:f>
              <c:strCache>
                <c:ptCount val="5"/>
                <c:pt idx="0">
                  <c:v>38115</c:v>
                </c:pt>
                <c:pt idx="1">
                  <c:v>38116</c:v>
                </c:pt>
                <c:pt idx="2">
                  <c:v>38118</c:v>
                </c:pt>
                <c:pt idx="3">
                  <c:v>38127</c:v>
                </c:pt>
                <c:pt idx="4">
                  <c:v>38128</c:v>
                </c:pt>
              </c:strCache>
            </c:strRef>
          </c:cat>
          <c:val>
            <c:numRef>
              <c:f>'Investor vs Owner Occupied'!$B$5:$B$10</c:f>
              <c:numCache>
                <c:formatCode>General</c:formatCode>
                <c:ptCount val="5"/>
                <c:pt idx="0">
                  <c:v>17</c:v>
                </c:pt>
                <c:pt idx="1">
                  <c:v>2</c:v>
                </c:pt>
                <c:pt idx="2">
                  <c:v>8</c:v>
                </c:pt>
                <c:pt idx="3">
                  <c:v>19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F8-4A76-8FCB-62DFFC42878E}"/>
            </c:ext>
          </c:extLst>
        </c:ser>
        <c:ser>
          <c:idx val="1"/>
          <c:order val="1"/>
          <c:tx>
            <c:strRef>
              <c:f>'Investor vs Owner Occupied'!$C$3:$C$4</c:f>
              <c:strCache>
                <c:ptCount val="1"/>
                <c:pt idx="0">
                  <c:v>Owner Occupant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'Investor vs Owner Occupied'!$A$5:$A$10</c:f>
              <c:strCache>
                <c:ptCount val="5"/>
                <c:pt idx="0">
                  <c:v>38115</c:v>
                </c:pt>
                <c:pt idx="1">
                  <c:v>38116</c:v>
                </c:pt>
                <c:pt idx="2">
                  <c:v>38118</c:v>
                </c:pt>
                <c:pt idx="3">
                  <c:v>38127</c:v>
                </c:pt>
                <c:pt idx="4">
                  <c:v>38128</c:v>
                </c:pt>
              </c:strCache>
            </c:strRef>
          </c:cat>
          <c:val>
            <c:numRef>
              <c:f>'Investor vs Owner Occupied'!$C$5:$C$10</c:f>
              <c:numCache>
                <c:formatCode>General</c:formatCode>
                <c:ptCount val="5"/>
                <c:pt idx="0">
                  <c:v>3</c:v>
                </c:pt>
                <c:pt idx="1">
                  <c:v>18</c:v>
                </c:pt>
                <c:pt idx="2">
                  <c:v>11</c:v>
                </c:pt>
                <c:pt idx="3">
                  <c:v>1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F8-4A76-8FCB-62DFFC4287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5458944"/>
        <c:axId val="261575728"/>
      </c:barChart>
      <c:catAx>
        <c:axId val="144545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575728"/>
        <c:crosses val="autoZero"/>
        <c:auto val="1"/>
        <c:lblAlgn val="ctr"/>
        <c:lblOffset val="100"/>
        <c:noMultiLvlLbl val="0"/>
      </c:catAx>
      <c:valAx>
        <c:axId val="26157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458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[Memphis_Investor_Data.xlsx]Avg Sales Price!PivotTable2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Investor Purchase Price by Zip Code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 Sales Price'!$B$3:$B$4</c:f>
              <c:strCache>
                <c:ptCount val="1"/>
                <c:pt idx="0">
                  <c:v>Investor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'Avg Sales Price'!$A$5:$A$9</c:f>
              <c:strCache>
                <c:ptCount val="5"/>
                <c:pt idx="0">
                  <c:v>38115</c:v>
                </c:pt>
                <c:pt idx="1">
                  <c:v>38116</c:v>
                </c:pt>
                <c:pt idx="2">
                  <c:v>38118</c:v>
                </c:pt>
                <c:pt idx="3">
                  <c:v>38127</c:v>
                </c:pt>
                <c:pt idx="4">
                  <c:v>38128</c:v>
                </c:pt>
              </c:strCache>
            </c:strRef>
          </c:cat>
          <c:val>
            <c:numRef>
              <c:f>'Avg Sales Price'!$B$5:$B$9</c:f>
              <c:numCache>
                <c:formatCode>"$"#,##0.00;[Red]"$"#,##0.00</c:formatCode>
                <c:ptCount val="5"/>
                <c:pt idx="0">
                  <c:v>184088.23529411765</c:v>
                </c:pt>
                <c:pt idx="1">
                  <c:v>240000</c:v>
                </c:pt>
                <c:pt idx="2">
                  <c:v>210625</c:v>
                </c:pt>
                <c:pt idx="3">
                  <c:v>109710.52631578948</c:v>
                </c:pt>
                <c:pt idx="4">
                  <c:v>153730.76923076922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2E-4D39-BEA1-AFAB1B388E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0495440"/>
        <c:axId val="261655408"/>
      </c:barChart>
      <c:catAx>
        <c:axId val="176049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655408"/>
        <c:crosses val="autoZero"/>
        <c:auto val="1"/>
        <c:lblAlgn val="ctr"/>
        <c:lblOffset val="100"/>
        <c:noMultiLvlLbl val="0"/>
      </c:catAx>
      <c:valAx>
        <c:axId val="26165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;[Red]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495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[Memphis_Investor_Data.xlsx]Avg. Investor Home Size!PivotTable3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Size</a:t>
            </a:r>
            <a:r>
              <a:rPr lang="en-US" baseline="0"/>
              <a:t> of Investor-Purchased Homes by ZIP Code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'Avg. Investor Home Size'!$B$3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'Avg. Investor Home Size'!$A$4:$A$8</c:f>
              <c:strCache>
                <c:ptCount val="5"/>
                <c:pt idx="0">
                  <c:v>38115</c:v>
                </c:pt>
                <c:pt idx="1">
                  <c:v>38116</c:v>
                </c:pt>
                <c:pt idx="2">
                  <c:v>38118</c:v>
                </c:pt>
                <c:pt idx="3">
                  <c:v>38127</c:v>
                </c:pt>
                <c:pt idx="4">
                  <c:v>38128</c:v>
                </c:pt>
              </c:strCache>
            </c:strRef>
          </c:cat>
          <c:val>
            <c:numRef>
              <c:f>'Avg. Investor Home Size'!$B$4:$B$8</c:f>
              <c:numCache>
                <c:formatCode>0</c:formatCode>
                <c:ptCount val="5"/>
                <c:pt idx="0">
                  <c:v>1582.3529411764705</c:v>
                </c:pt>
                <c:pt idx="1">
                  <c:v>2200</c:v>
                </c:pt>
                <c:pt idx="2">
                  <c:v>1555</c:v>
                </c:pt>
                <c:pt idx="3">
                  <c:v>1193.6842105263158</c:v>
                </c:pt>
                <c:pt idx="4">
                  <c:v>1625.7692307692307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7E-4BDD-9EA2-0EB4A9493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2401792"/>
        <c:axId val="261567568"/>
      </c:barChart>
      <c:catAx>
        <c:axId val="1892401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567568"/>
        <c:crosses val="autoZero"/>
        <c:auto val="1"/>
        <c:lblAlgn val="ctr"/>
        <c:lblOffset val="100"/>
        <c:noMultiLvlLbl val="0"/>
      </c:catAx>
      <c:valAx>
        <c:axId val="26156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401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[Memphis_Investor_Data.xlsx]Avg Price per SQFT!PivotTable7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Investor Price per Square Foot by ZIP Code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 Price per SQFT'!$B$3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'Avg Price per SQFT'!$A$4:$A$8</c:f>
              <c:strCache>
                <c:ptCount val="5"/>
                <c:pt idx="0">
                  <c:v>38115</c:v>
                </c:pt>
                <c:pt idx="1">
                  <c:v>38116</c:v>
                </c:pt>
                <c:pt idx="2">
                  <c:v>38118</c:v>
                </c:pt>
                <c:pt idx="3">
                  <c:v>38127</c:v>
                </c:pt>
                <c:pt idx="4">
                  <c:v>38128</c:v>
                </c:pt>
              </c:strCache>
            </c:strRef>
          </c:cat>
          <c:val>
            <c:numRef>
              <c:f>'Avg Price per SQFT'!$B$4:$B$8</c:f>
              <c:numCache>
                <c:formatCode>"$"#,##0.00;[Red]"$"#,##0.00</c:formatCode>
                <c:ptCount val="5"/>
                <c:pt idx="0">
                  <c:v>116.64235185401624</c:v>
                </c:pt>
                <c:pt idx="1">
                  <c:v>109.11044973544975</c:v>
                </c:pt>
                <c:pt idx="2">
                  <c:v>135.47129563626655</c:v>
                </c:pt>
                <c:pt idx="3">
                  <c:v>92.065455360447288</c:v>
                </c:pt>
                <c:pt idx="4">
                  <c:v>94.671353098764655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6B-4CEA-9487-624D6A8BF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6333344"/>
        <c:axId val="1007328047"/>
      </c:barChart>
      <c:catAx>
        <c:axId val="1766333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328047"/>
        <c:crosses val="autoZero"/>
        <c:auto val="1"/>
        <c:lblAlgn val="ctr"/>
        <c:lblOffset val="100"/>
        <c:noMultiLvlLbl val="0"/>
      </c:catAx>
      <c:valAx>
        <c:axId val="100732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;[Red]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333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[Memphis_Investor_Data.xlsx]Investor vs Owner Occupied!PivotTable1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Investor vs. Owner-Occupant Purchases by ZIP Code</a:t>
            </a:r>
            <a:endParaRPr lang="en-US"/>
          </a:p>
        </c:rich>
      </c:tx>
      <c:layout>
        <c:manualLayout>
          <c:xMode val="edge"/>
          <c:yMode val="edge"/>
          <c:x val="0.11223600174978128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'Investor vs Owner Occupied'!$B$3:$B$4</c:f>
              <c:strCache>
                <c:ptCount val="1"/>
                <c:pt idx="0">
                  <c:v>Investor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'Investor vs Owner Occupied'!$A$5:$A$10</c:f>
              <c:strCache>
                <c:ptCount val="5"/>
                <c:pt idx="0">
                  <c:v>38115</c:v>
                </c:pt>
                <c:pt idx="1">
                  <c:v>38116</c:v>
                </c:pt>
                <c:pt idx="2">
                  <c:v>38118</c:v>
                </c:pt>
                <c:pt idx="3">
                  <c:v>38127</c:v>
                </c:pt>
                <c:pt idx="4">
                  <c:v>38128</c:v>
                </c:pt>
              </c:strCache>
            </c:strRef>
          </c:cat>
          <c:val>
            <c:numRef>
              <c:f>'Investor vs Owner Occupied'!$B$5:$B$10</c:f>
              <c:numCache>
                <c:formatCode>General</c:formatCode>
                <c:ptCount val="5"/>
                <c:pt idx="0">
                  <c:v>17</c:v>
                </c:pt>
                <c:pt idx="1">
                  <c:v>2</c:v>
                </c:pt>
                <c:pt idx="2">
                  <c:v>8</c:v>
                </c:pt>
                <c:pt idx="3">
                  <c:v>19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74-4A69-BBCB-07A2B517043B}"/>
            </c:ext>
          </c:extLst>
        </c:ser>
        <c:ser>
          <c:idx val="1"/>
          <c:order val="1"/>
          <c:tx>
            <c:strRef>
              <c:f>'Investor vs Owner Occupied'!$C$3:$C$4</c:f>
              <c:strCache>
                <c:ptCount val="1"/>
                <c:pt idx="0">
                  <c:v>Owner Occupant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'Investor vs Owner Occupied'!$A$5:$A$10</c:f>
              <c:strCache>
                <c:ptCount val="5"/>
                <c:pt idx="0">
                  <c:v>38115</c:v>
                </c:pt>
                <c:pt idx="1">
                  <c:v>38116</c:v>
                </c:pt>
                <c:pt idx="2">
                  <c:v>38118</c:v>
                </c:pt>
                <c:pt idx="3">
                  <c:v>38127</c:v>
                </c:pt>
                <c:pt idx="4">
                  <c:v>38128</c:v>
                </c:pt>
              </c:strCache>
            </c:strRef>
          </c:cat>
          <c:val>
            <c:numRef>
              <c:f>'Investor vs Owner Occupied'!$C$5:$C$10</c:f>
              <c:numCache>
                <c:formatCode>General</c:formatCode>
                <c:ptCount val="5"/>
                <c:pt idx="0">
                  <c:v>3</c:v>
                </c:pt>
                <c:pt idx="1">
                  <c:v>18</c:v>
                </c:pt>
                <c:pt idx="2">
                  <c:v>11</c:v>
                </c:pt>
                <c:pt idx="3">
                  <c:v>1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74-4A69-BBCB-07A2B5170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5458944"/>
        <c:axId val="261575728"/>
      </c:barChart>
      <c:catAx>
        <c:axId val="144545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575728"/>
        <c:crosses val="autoZero"/>
        <c:auto val="1"/>
        <c:lblAlgn val="ctr"/>
        <c:lblOffset val="100"/>
        <c:noMultiLvlLbl val="0"/>
      </c:catAx>
      <c:valAx>
        <c:axId val="26157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458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[Memphis_Investor_Data.xlsx]Avg Price per SQFT!PivotTable7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Investor Price per Square Foot by ZIP Code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 Price per SQFT'!$B$3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'Avg Price per SQFT'!$A$4:$A$8</c:f>
              <c:strCache>
                <c:ptCount val="5"/>
                <c:pt idx="0">
                  <c:v>38115</c:v>
                </c:pt>
                <c:pt idx="1">
                  <c:v>38116</c:v>
                </c:pt>
                <c:pt idx="2">
                  <c:v>38118</c:v>
                </c:pt>
                <c:pt idx="3">
                  <c:v>38127</c:v>
                </c:pt>
                <c:pt idx="4">
                  <c:v>38128</c:v>
                </c:pt>
              </c:strCache>
            </c:strRef>
          </c:cat>
          <c:val>
            <c:numRef>
              <c:f>'Avg Price per SQFT'!$B$4:$B$8</c:f>
              <c:numCache>
                <c:formatCode>"$"#,##0.00;[Red]"$"#,##0.00</c:formatCode>
                <c:ptCount val="5"/>
                <c:pt idx="0">
                  <c:v>116.64235185401624</c:v>
                </c:pt>
                <c:pt idx="1">
                  <c:v>109.11044973544975</c:v>
                </c:pt>
                <c:pt idx="2">
                  <c:v>135.47129563626655</c:v>
                </c:pt>
                <c:pt idx="3">
                  <c:v>92.065455360447288</c:v>
                </c:pt>
                <c:pt idx="4">
                  <c:v>94.671353098764655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D8-4EE9-B256-C878B61C6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6333344"/>
        <c:axId val="1007328047"/>
      </c:barChart>
      <c:catAx>
        <c:axId val="1766333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328047"/>
        <c:crosses val="autoZero"/>
        <c:auto val="1"/>
        <c:lblAlgn val="ctr"/>
        <c:lblOffset val="100"/>
        <c:noMultiLvlLbl val="0"/>
      </c:catAx>
      <c:valAx>
        <c:axId val="100732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;[Red]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333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390525</xdr:colOff>
      <xdr:row>0</xdr:row>
      <xdr:rowOff>0</xdr:rowOff>
    </xdr:from>
    <xdr:to>
      <xdr:col>13</xdr:col>
      <xdr:colOff>85725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458A37-17A3-5A8A-A9C9-CE2CCF8A6F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19050</xdr:colOff>
      <xdr:row>0</xdr:row>
      <xdr:rowOff>38100</xdr:rowOff>
    </xdr:from>
    <xdr:ext cx="4276725" cy="28020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53BF9E4-64D3-4AA5-6ADA-20119E9B9DA8}"/>
            </a:ext>
          </a:extLst>
        </xdr:cNvPr>
        <xdr:cNvSpPr txBox="1"/>
      </xdr:nvSpPr>
      <xdr:spPr>
        <a:xfrm>
          <a:off x="19050" y="38100"/>
          <a:ext cx="4276725" cy="28020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effectLst>
          <a:glow rad="63500">
            <a:schemeClr val="accent4">
              <a:satMod val="175000"/>
              <a:alpha val="40000"/>
            </a:schemeClr>
          </a:glo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 b="1"/>
            <a:t>Memphis Investor Market Analysis</a:t>
          </a:r>
        </a:p>
      </xdr:txBody>
    </xdr:sp>
    <xdr:clientData/>
  </xdr:oneCellAnchor>
  <xdr:oneCellAnchor>
    <xdr:from>
      <xdr:col>6</xdr:col>
      <xdr:colOff>257175</xdr:colOff>
      <xdr:row>4</xdr:row>
      <xdr:rowOff>95250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3925307-0B96-D43B-63EB-122B8D78BDAC}"/>
            </a:ext>
          </a:extLst>
        </xdr:cNvPr>
        <xdr:cNvSpPr txBox="1"/>
      </xdr:nvSpPr>
      <xdr:spPr>
        <a:xfrm>
          <a:off x="5762625" y="85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133350</xdr:colOff>
      <xdr:row>20</xdr:row>
      <xdr:rowOff>152400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E92DD02-FEE8-D997-BE3C-90171847A0BF}"/>
            </a:ext>
          </a:extLst>
        </xdr:cNvPr>
        <xdr:cNvSpPr txBox="1"/>
      </xdr:nvSpPr>
      <xdr:spPr>
        <a:xfrm>
          <a:off x="2600325" y="396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381000</xdr:colOff>
      <xdr:row>19</xdr:row>
      <xdr:rowOff>38100</xdr:rowOff>
    </xdr:from>
    <xdr:ext cx="4924425" cy="37407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99FEBFA-A9AA-CE72-AA92-3AF6B10FA3B5}"/>
            </a:ext>
          </a:extLst>
        </xdr:cNvPr>
        <xdr:cNvSpPr txBox="1"/>
      </xdr:nvSpPr>
      <xdr:spPr>
        <a:xfrm>
          <a:off x="5276850" y="3657600"/>
          <a:ext cx="4924425" cy="37407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00" b="1" i="1"/>
            <a:t>Source: Synthetic dataset created for educational/data analytics purposes. Not actual MLS or public-record data.</a:t>
          </a:r>
        </a:p>
      </xdr:txBody>
    </xdr:sp>
    <xdr:clientData/>
  </xdr:oneCellAnchor>
  <xdr:oneCellAnchor>
    <xdr:from>
      <xdr:col>5</xdr:col>
      <xdr:colOff>381000</xdr:colOff>
      <xdr:row>15</xdr:row>
      <xdr:rowOff>76201</xdr:rowOff>
    </xdr:from>
    <xdr:ext cx="4800600" cy="46807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2301A06-3938-DD9B-31AD-2F020DB3DF14}"/>
            </a:ext>
          </a:extLst>
        </xdr:cNvPr>
        <xdr:cNvSpPr txBox="1"/>
      </xdr:nvSpPr>
      <xdr:spPr>
        <a:xfrm>
          <a:off x="5276850" y="2933701"/>
          <a:ext cx="4800600" cy="46807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 b="1"/>
            <a:t>Key Finding:</a:t>
          </a:r>
          <a:r>
            <a:rPr lang="en-US" sz="1200"/>
            <a:t> In the synthetic sample, ZIP Code 38127 had the highest investor activity, with 19 of 20 transactions classified as investor purchases.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176212</xdr:rowOff>
    </xdr:from>
    <xdr:to>
      <xdr:col>11</xdr:col>
      <xdr:colOff>304800</xdr:colOff>
      <xdr:row>15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486338-5B2A-849D-572B-3A6BF1ADCB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4</xdr:col>
      <xdr:colOff>209550</xdr:colOff>
      <xdr:row>16</xdr:row>
      <xdr:rowOff>38100</xdr:rowOff>
    </xdr:from>
    <xdr:ext cx="4219575" cy="37407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962F5B3-138F-819A-0539-625F9AA11C63}"/>
            </a:ext>
          </a:extLst>
        </xdr:cNvPr>
        <xdr:cNvSpPr txBox="1"/>
      </xdr:nvSpPr>
      <xdr:spPr>
        <a:xfrm>
          <a:off x="3724275" y="3086100"/>
          <a:ext cx="4219575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00" b="1" i="1"/>
            <a:t>Source: Synthetic dataset created for educational/data analytics purposes. Not actual MLS or public-record data.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142874</xdr:colOff>
      <xdr:row>2</xdr:row>
      <xdr:rowOff>14287</xdr:rowOff>
    </xdr:from>
    <xdr:to>
      <xdr:col>13</xdr:col>
      <xdr:colOff>228599</xdr:colOff>
      <xdr:row>16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5ABDBD-7969-B950-4D07-DB1A2D4DC8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5</xdr:col>
      <xdr:colOff>200025</xdr:colOff>
      <xdr:row>17</xdr:row>
      <xdr:rowOff>28575</xdr:rowOff>
    </xdr:from>
    <xdr:ext cx="4914900" cy="43678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2C9CC67-3B34-5F97-7E47-B55E574BE59A}"/>
            </a:ext>
          </a:extLst>
        </xdr:cNvPr>
        <xdr:cNvSpPr txBox="1"/>
      </xdr:nvSpPr>
      <xdr:spPr>
        <a:xfrm>
          <a:off x="4314825" y="3267075"/>
          <a:ext cx="4914900" cy="43678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/>
            <a:t>Key Finding</a:t>
          </a:r>
          <a:r>
            <a:rPr lang="en-US" sz="1100"/>
            <a:t>: In the synthetic sample, 38116 had the largest average investor-purchased home size at 2,200 sq. ft., while 38127 had the smallest at 1,194 sq. ft.</a:t>
          </a:r>
        </a:p>
      </xdr:txBody>
    </xdr:sp>
    <xdr:clientData/>
  </xdr:oneCellAnchor>
  <xdr:oneCellAnchor>
    <xdr:from>
      <xdr:col>5</xdr:col>
      <xdr:colOff>219075</xdr:colOff>
      <xdr:row>21</xdr:row>
      <xdr:rowOff>28575</xdr:rowOff>
    </xdr:from>
    <xdr:ext cx="4219575" cy="37407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D7CA042-3E83-3A91-9F40-311175A80D24}"/>
            </a:ext>
          </a:extLst>
        </xdr:cNvPr>
        <xdr:cNvSpPr txBox="1"/>
      </xdr:nvSpPr>
      <xdr:spPr>
        <a:xfrm>
          <a:off x="4333875" y="4029075"/>
          <a:ext cx="4219575" cy="37407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00" b="1" i="1"/>
            <a:t>Source: Synthetic dataset created for educational/data analytics purposes. Not actual MLS or public-record data.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466725</xdr:colOff>
      <xdr:row>2</xdr:row>
      <xdr:rowOff>157161</xdr:rowOff>
    </xdr:from>
    <xdr:to>
      <xdr:col>13</xdr:col>
      <xdr:colOff>409575</xdr:colOff>
      <xdr:row>18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7871BB-E7AE-CA9A-6479-5A36D02B9E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4</xdr:col>
      <xdr:colOff>457200</xdr:colOff>
      <xdr:row>19</xdr:row>
      <xdr:rowOff>95250</xdr:rowOff>
    </xdr:from>
    <xdr:ext cx="5591175" cy="43678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E94EDAA-21B8-702B-6AFF-5617DC0C62EC}"/>
            </a:ext>
          </a:extLst>
        </xdr:cNvPr>
        <xdr:cNvSpPr txBox="1"/>
      </xdr:nvSpPr>
      <xdr:spPr>
        <a:xfrm>
          <a:off x="4276725" y="3714750"/>
          <a:ext cx="5591175" cy="43678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b="1"/>
            <a:t>Key Finding:</a:t>
          </a:r>
          <a:r>
            <a:rPr lang="en-US"/>
            <a:t> In the synthetic sample, ZIP Code 38118 had the highest average investor purchase price per square foot at $135.47, while 38127 had the lowest at $92.07.</a:t>
          </a:r>
          <a:endParaRPr lang="en-US" sz="1100"/>
        </a:p>
      </xdr:txBody>
    </xdr:sp>
    <xdr:clientData/>
  </xdr:oneCellAnchor>
  <xdr:oneCellAnchor>
    <xdr:from>
      <xdr:col>5</xdr:col>
      <xdr:colOff>9525</xdr:colOff>
      <xdr:row>22</xdr:row>
      <xdr:rowOff>114299</xdr:rowOff>
    </xdr:from>
    <xdr:ext cx="4895850" cy="37407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A135510-59C8-1F8C-BE6C-44F24009A09F}"/>
            </a:ext>
          </a:extLst>
        </xdr:cNvPr>
        <xdr:cNvSpPr txBox="1"/>
      </xdr:nvSpPr>
      <xdr:spPr>
        <a:xfrm>
          <a:off x="4438650" y="4305299"/>
          <a:ext cx="4895850" cy="37407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00" b="1" i="1"/>
            <a:t>Source: Synthetic dataset created for educational/data analytics purposes. Not actual MLS or public-record data.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8</xdr:col>
      <xdr:colOff>19050</xdr:colOff>
      <xdr:row>21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79EED4-E367-4A68-844D-238D71F710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8</xdr:row>
      <xdr:rowOff>1</xdr:rowOff>
    </xdr:from>
    <xdr:to>
      <xdr:col>17</xdr:col>
      <xdr:colOff>523875</xdr:colOff>
      <xdr:row>21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EF3B72-C7AC-49C3-95C3-CAF2B3F6F7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0</xdr:col>
      <xdr:colOff>0</xdr:colOff>
      <xdr:row>23</xdr:row>
      <xdr:rowOff>180974</xdr:rowOff>
    </xdr:from>
    <xdr:ext cx="9182100" cy="129791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619DE8E-3583-1B68-7BC9-5181277ECEF9}"/>
            </a:ext>
          </a:extLst>
        </xdr:cNvPr>
        <xdr:cNvSpPr txBox="1"/>
      </xdr:nvSpPr>
      <xdr:spPr>
        <a:xfrm>
          <a:off x="0" y="4772024"/>
          <a:ext cx="9182100" cy="1297919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lang="en-US" sz="1100"/>
            <a:t>KEY</a:t>
          </a:r>
          <a:r>
            <a:rPr lang="en-US" sz="1100" baseline="0"/>
            <a:t> INVESTOR INSIGHTS</a:t>
          </a:r>
        </a:p>
        <a:p>
          <a:pPr algn="l"/>
          <a:endParaRPr lang="en-US" sz="1100"/>
        </a:p>
        <a:p>
          <a:r>
            <a:rPr lang="en-US" b="1"/>
            <a:t>• Investor purchases represented 59% of the synthetic sample.</a:t>
          </a:r>
          <a:br>
            <a:rPr lang="en-US"/>
          </a:br>
          <a:r>
            <a:rPr lang="en-US" b="1"/>
            <a:t>• ZIP Code 38127 had the highest investor purchase volume, with 19 transactions.</a:t>
          </a:r>
          <a:br>
            <a:rPr lang="en-US"/>
          </a:br>
          <a:r>
            <a:rPr lang="en-US" b="1"/>
            <a:t>• ZIP Code 38118 had the highest average investor price per square foot at $135.47.</a:t>
          </a:r>
        </a:p>
        <a:p>
          <a:endParaRPr lang="en-US" b="1"/>
        </a:p>
        <a:p>
          <a:r>
            <a:rPr lang="en-US" sz="1100" i="1"/>
            <a:t>Source: Synthetic dataset created for educational/data analytics purposes. Not actual MLS or public-record data.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Quita Jordan" refreshedDate="46263.604238425927" createdVersion="8" refreshedVersion="8" minRefreshableVersion="3" recordCount="100" xr:uid="{A02CAFC2-7160-47EA-A7A9-02443C98EB14}">
  <cacheSource type="worksheet">
    <worksheetSource ref="A1:I101" sheet="Data"/>
  </cacheSource>
  <cacheFields count="9">
    <cacheField name="Property_ID" numFmtId="0">
      <sharedItems/>
    </cacheField>
    <cacheField name="ZIP_Code" numFmtId="0">
      <sharedItems containsSemiMixedTypes="0" containsString="0" containsNumber="1" containsInteger="1" minValue="38115" maxValue="38128" count="5">
        <n v="38128"/>
        <n v="38127"/>
        <n v="38115"/>
        <n v="38116"/>
        <n v="38118"/>
      </sharedItems>
    </cacheField>
    <cacheField name="Sale_Price" numFmtId="0">
      <sharedItems containsSemiMixedTypes="0" containsString="0" containsNumber="1" containsInteger="1" minValue="97000" maxValue="255000"/>
    </cacheField>
    <cacheField name="Bedrooms" numFmtId="0">
      <sharedItems containsSemiMixedTypes="0" containsString="0" containsNumber="1" containsInteger="1" minValue="2" maxValue="4"/>
    </cacheField>
    <cacheField name="Bathrooms" numFmtId="0">
      <sharedItems containsSemiMixedTypes="0" containsString="0" containsNumber="1" minValue="1" maxValue="3"/>
    </cacheField>
    <cacheField name="Sq_Ft" numFmtId="0">
      <sharedItems containsSemiMixedTypes="0" containsString="0" containsNumber="1" containsInteger="1" minValue="1020" maxValue="2320"/>
    </cacheField>
    <cacheField name="Year_Built" numFmtId="0">
      <sharedItems containsSemiMixedTypes="0" containsString="0" containsNumber="1" containsInteger="1" minValue="1959" maxValue="1997"/>
    </cacheField>
    <cacheField name="Sale_Date" numFmtId="14">
      <sharedItems containsSemiMixedTypes="0" containsNonDate="0" containsDate="1" containsString="0" minDate="2025-01-08T00:00:00" maxDate="2026-03-30T00:00:00"/>
    </cacheField>
    <cacheField name="Buyer_Type" numFmtId="0">
      <sharedItems count="2">
        <s v="Investor"/>
        <s v="Owner Occupa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Quita Jordan" refreshedDate="46263.763454976855" createdVersion="8" refreshedVersion="8" minRefreshableVersion="3" recordCount="100" xr:uid="{ECE4B93F-5B16-4004-AD07-A24AFE8136CC}">
  <cacheSource type="worksheet">
    <worksheetSource ref="A1:J101" sheet="Data"/>
  </cacheSource>
  <cacheFields count="10">
    <cacheField name="Property_ID" numFmtId="0">
      <sharedItems/>
    </cacheField>
    <cacheField name="ZIP_Code" numFmtId="0">
      <sharedItems containsSemiMixedTypes="0" containsString="0" containsNumber="1" containsInteger="1" minValue="38115" maxValue="38128" count="5">
        <n v="38128"/>
        <n v="38127"/>
        <n v="38115"/>
        <n v="38116"/>
        <n v="38118"/>
      </sharedItems>
    </cacheField>
    <cacheField name="Sale_Price" numFmtId="0">
      <sharedItems containsSemiMixedTypes="0" containsString="0" containsNumber="1" containsInteger="1" minValue="97000" maxValue="255000"/>
    </cacheField>
    <cacheField name="Bedrooms" numFmtId="0">
      <sharedItems containsSemiMixedTypes="0" containsString="0" containsNumber="1" containsInteger="1" minValue="2" maxValue="4"/>
    </cacheField>
    <cacheField name="Bathrooms" numFmtId="0">
      <sharedItems containsSemiMixedTypes="0" containsString="0" containsNumber="1" minValue="1" maxValue="3"/>
    </cacheField>
    <cacheField name="Sq_Ft" numFmtId="0">
      <sharedItems containsSemiMixedTypes="0" containsString="0" containsNumber="1" containsInteger="1" minValue="1020" maxValue="2320"/>
    </cacheField>
    <cacheField name="Year_Built" numFmtId="0">
      <sharedItems containsSemiMixedTypes="0" containsString="0" containsNumber="1" containsInteger="1" minValue="1959" maxValue="1997"/>
    </cacheField>
    <cacheField name="Sale_Date" numFmtId="14">
      <sharedItems containsSemiMixedTypes="0" containsNonDate="0" containsDate="1" containsString="0" minDate="2025-01-08T00:00:00" maxDate="2026-03-30T00:00:00"/>
    </cacheField>
    <cacheField name="Buyer_Type" numFmtId="0">
      <sharedItems count="2">
        <s v="Investor"/>
        <s v="Owner Occupant"/>
      </sharedItems>
    </cacheField>
    <cacheField name="Price_Per_Sq_Ft" numFmtId="164">
      <sharedItems containsSemiMixedTypes="0" containsString="0" containsNumber="1" minValue="88.983050847457633" maxValue="141.17647058823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MEM001"/>
    <x v="0"/>
    <n v="142500"/>
    <n v="3"/>
    <n v="2"/>
    <n v="1450"/>
    <n v="1972"/>
    <d v="2025-01-08T00:00:00"/>
    <x v="0"/>
  </r>
  <r>
    <s v="MEM002"/>
    <x v="1"/>
    <n v="118000"/>
    <n v="3"/>
    <n v="1.5"/>
    <n v="1320"/>
    <n v="1968"/>
    <d v="2025-01-12T00:00:00"/>
    <x v="1"/>
  </r>
  <r>
    <s v="MEM003"/>
    <x v="0"/>
    <n v="155000"/>
    <n v="4"/>
    <n v="2"/>
    <n v="1680"/>
    <n v="1975"/>
    <d v="2025-01-18T00:00:00"/>
    <x v="0"/>
  </r>
  <r>
    <s v="MEM004"/>
    <x v="2"/>
    <n v="185000"/>
    <n v="3"/>
    <n v="2"/>
    <n v="1540"/>
    <n v="1984"/>
    <d v="2025-01-22T00:00:00"/>
    <x v="1"/>
  </r>
  <r>
    <s v="MEM005"/>
    <x v="3"/>
    <n v="210000"/>
    <n v="4"/>
    <n v="2.5"/>
    <n v="1920"/>
    <n v="1988"/>
    <d v="2025-01-29T00:00:00"/>
    <x v="1"/>
  </r>
  <r>
    <s v="MEM006"/>
    <x v="1"/>
    <n v="105000"/>
    <n v="3"/>
    <n v="1"/>
    <n v="1180"/>
    <n v="1962"/>
    <d v="2025-02-03T00:00:00"/>
    <x v="0"/>
  </r>
  <r>
    <s v="MEM007"/>
    <x v="0"/>
    <n v="139500"/>
    <n v="3"/>
    <n v="2"/>
    <n v="1410"/>
    <n v="1970"/>
    <d v="2025-02-07T00:00:00"/>
    <x v="0"/>
  </r>
  <r>
    <s v="MEM008"/>
    <x v="4"/>
    <n v="198000"/>
    <n v="3"/>
    <n v="2"/>
    <n v="1600"/>
    <n v="1982"/>
    <d v="2025-02-11T00:00:00"/>
    <x v="1"/>
  </r>
  <r>
    <s v="MEM009"/>
    <x v="2"/>
    <n v="172000"/>
    <n v="3"/>
    <n v="2"/>
    <n v="1490"/>
    <n v="1980"/>
    <d v="2025-02-15T00:00:00"/>
    <x v="0"/>
  </r>
  <r>
    <s v="MEM010"/>
    <x v="3"/>
    <n v="225000"/>
    <n v="4"/>
    <n v="2.5"/>
    <n v="2050"/>
    <n v="1990"/>
    <d v="2025-02-21T00:00:00"/>
    <x v="1"/>
  </r>
  <r>
    <s v="MEM011"/>
    <x v="1"/>
    <n v="112500"/>
    <n v="3"/>
    <n v="1.5"/>
    <n v="1250"/>
    <n v="1965"/>
    <d v="2025-03-02T00:00:00"/>
    <x v="0"/>
  </r>
  <r>
    <s v="MEM012"/>
    <x v="0"/>
    <n v="148000"/>
    <n v="4"/>
    <n v="2"/>
    <n v="1575"/>
    <n v="1976"/>
    <d v="2025-03-06T00:00:00"/>
    <x v="0"/>
  </r>
  <r>
    <s v="MEM013"/>
    <x v="4"/>
    <n v="215000"/>
    <n v="4"/>
    <n v="2.5"/>
    <n v="1980"/>
    <n v="1986"/>
    <d v="2025-03-10T00:00:00"/>
    <x v="1"/>
  </r>
  <r>
    <s v="MEM014"/>
    <x v="2"/>
    <n v="189000"/>
    <n v="3"/>
    <n v="2"/>
    <n v="1620"/>
    <n v="1983"/>
    <d v="2025-03-14T00:00:00"/>
    <x v="0"/>
  </r>
  <r>
    <s v="MEM015"/>
    <x v="3"/>
    <n v="235000"/>
    <n v="4"/>
    <n v="3"/>
    <n v="2180"/>
    <n v="1992"/>
    <d v="2025-03-19T00:00:00"/>
    <x v="1"/>
  </r>
  <r>
    <s v="MEM016"/>
    <x v="1"/>
    <n v="99000"/>
    <n v="2"/>
    <n v="1"/>
    <n v="1050"/>
    <n v="1960"/>
    <d v="2025-03-24T00:00:00"/>
    <x v="0"/>
  </r>
  <r>
    <s v="MEM017"/>
    <x v="0"/>
    <n v="132000"/>
    <n v="3"/>
    <n v="1.5"/>
    <n v="1280"/>
    <n v="1969"/>
    <d v="2025-03-28T00:00:00"/>
    <x v="1"/>
  </r>
  <r>
    <s v="MEM018"/>
    <x v="4"/>
    <n v="205000"/>
    <n v="3"/>
    <n v="2"/>
    <n v="1510"/>
    <n v="1981"/>
    <d v="2025-04-03T00:00:00"/>
    <x v="0"/>
  </r>
  <r>
    <s v="MEM019"/>
    <x v="2"/>
    <n v="178500"/>
    <n v="3"/>
    <n v="2"/>
    <n v="1460"/>
    <n v="1979"/>
    <d v="2025-04-07T00:00:00"/>
    <x v="0"/>
  </r>
  <r>
    <s v="MEM020"/>
    <x v="3"/>
    <n v="219000"/>
    <n v="4"/>
    <n v="2.5"/>
    <n v="1880"/>
    <n v="1987"/>
    <d v="2025-04-11T00:00:00"/>
    <x v="1"/>
  </r>
  <r>
    <s v="MEM021"/>
    <x v="1"/>
    <n v="125000"/>
    <n v="3"/>
    <n v="2"/>
    <n v="1360"/>
    <n v="1971"/>
    <d v="2025-04-17T00:00:00"/>
    <x v="0"/>
  </r>
  <r>
    <s v="MEM022"/>
    <x v="0"/>
    <n v="161000"/>
    <n v="4"/>
    <n v="2"/>
    <n v="1710"/>
    <n v="1977"/>
    <d v="2025-04-21T00:00:00"/>
    <x v="0"/>
  </r>
  <r>
    <s v="MEM023"/>
    <x v="4"/>
    <n v="227500"/>
    <n v="4"/>
    <n v="2.5"/>
    <n v="2100"/>
    <n v="1991"/>
    <d v="2025-04-25T00:00:00"/>
    <x v="1"/>
  </r>
  <r>
    <s v="MEM024"/>
    <x v="2"/>
    <n v="195000"/>
    <n v="3"/>
    <n v="2"/>
    <n v="1580"/>
    <n v="1985"/>
    <d v="2025-05-02T00:00:00"/>
    <x v="1"/>
  </r>
  <r>
    <s v="MEM025"/>
    <x v="3"/>
    <n v="242000"/>
    <n v="4"/>
    <n v="3"/>
    <n v="2240"/>
    <n v="1994"/>
    <d v="2025-05-06T00:00:00"/>
    <x v="0"/>
  </r>
  <r>
    <s v="MEM026"/>
    <x v="1"/>
    <n v="108000"/>
    <n v="3"/>
    <n v="1"/>
    <n v="1200"/>
    <n v="1963"/>
    <d v="2025-05-10T00:00:00"/>
    <x v="0"/>
  </r>
  <r>
    <s v="MEM027"/>
    <x v="0"/>
    <n v="145000"/>
    <n v="3"/>
    <n v="2"/>
    <n v="1500"/>
    <n v="1973"/>
    <d v="2025-05-14T00:00:00"/>
    <x v="1"/>
  </r>
  <r>
    <s v="MEM028"/>
    <x v="4"/>
    <n v="202000"/>
    <n v="3"/>
    <n v="2"/>
    <n v="1550"/>
    <n v="1980"/>
    <d v="2025-05-19T00:00:00"/>
    <x v="0"/>
  </r>
  <r>
    <s v="MEM029"/>
    <x v="2"/>
    <n v="181000"/>
    <n v="4"/>
    <n v="2"/>
    <n v="1690"/>
    <n v="1982"/>
    <d v="2025-05-23T00:00:00"/>
    <x v="0"/>
  </r>
  <r>
    <s v="MEM030"/>
    <x v="3"/>
    <n v="228000"/>
    <n v="4"/>
    <n v="2.5"/>
    <n v="2010"/>
    <n v="1989"/>
    <d v="2025-05-28T00:00:00"/>
    <x v="1"/>
  </r>
  <r>
    <s v="MEM031"/>
    <x v="1"/>
    <n v="115000"/>
    <n v="3"/>
    <n v="1.5"/>
    <n v="1270"/>
    <n v="1967"/>
    <d v="2025-06-03T00:00:00"/>
    <x v="0"/>
  </r>
  <r>
    <s v="MEM032"/>
    <x v="0"/>
    <n v="152000"/>
    <n v="4"/>
    <n v="2"/>
    <n v="1630"/>
    <n v="1978"/>
    <d v="2025-06-07T00:00:00"/>
    <x v="0"/>
  </r>
  <r>
    <s v="MEM033"/>
    <x v="4"/>
    <n v="218000"/>
    <n v="3"/>
    <n v="2"/>
    <n v="1640"/>
    <n v="1984"/>
    <d v="2025-06-11T00:00:00"/>
    <x v="1"/>
  </r>
  <r>
    <s v="MEM034"/>
    <x v="2"/>
    <n v="187500"/>
    <n v="3"/>
    <n v="2"/>
    <n v="1520"/>
    <n v="1981"/>
    <d v="2025-06-16T00:00:00"/>
    <x v="0"/>
  </r>
  <r>
    <s v="MEM035"/>
    <x v="3"/>
    <n v="249000"/>
    <n v="4"/>
    <n v="3"/>
    <n v="2300"/>
    <n v="1995"/>
    <d v="2025-06-20T00:00:00"/>
    <x v="1"/>
  </r>
  <r>
    <s v="MEM036"/>
    <x v="1"/>
    <n v="101000"/>
    <n v="2"/>
    <n v="1"/>
    <n v="1080"/>
    <n v="1961"/>
    <d v="2025-06-25T00:00:00"/>
    <x v="0"/>
  </r>
  <r>
    <s v="MEM037"/>
    <x v="0"/>
    <n v="137500"/>
    <n v="3"/>
    <n v="1.5"/>
    <n v="1340"/>
    <n v="1970"/>
    <d v="2025-06-29T00:00:00"/>
    <x v="1"/>
  </r>
  <r>
    <s v="MEM038"/>
    <x v="4"/>
    <n v="209000"/>
    <n v="3"/>
    <n v="2"/>
    <n v="1580"/>
    <n v="1983"/>
    <d v="2025-07-03T00:00:00"/>
    <x v="0"/>
  </r>
  <r>
    <s v="MEM039"/>
    <x v="2"/>
    <n v="176000"/>
    <n v="3"/>
    <n v="2"/>
    <n v="1450"/>
    <n v="1978"/>
    <d v="2025-07-08T00:00:00"/>
    <x v="0"/>
  </r>
  <r>
    <s v="MEM040"/>
    <x v="3"/>
    <n v="221000"/>
    <n v="4"/>
    <n v="2.5"/>
    <n v="1940"/>
    <n v="1988"/>
    <d v="2025-07-12T00:00:00"/>
    <x v="1"/>
  </r>
  <r>
    <s v="MEM041"/>
    <x v="1"/>
    <n v="119000"/>
    <n v="3"/>
    <n v="2"/>
    <n v="1310"/>
    <n v="1966"/>
    <d v="2025-07-17T00:00:00"/>
    <x v="0"/>
  </r>
  <r>
    <s v="MEM042"/>
    <x v="0"/>
    <n v="158000"/>
    <n v="4"/>
    <n v="2"/>
    <n v="1700"/>
    <n v="1976"/>
    <d v="2025-07-21T00:00:00"/>
    <x v="0"/>
  </r>
  <r>
    <s v="MEM043"/>
    <x v="4"/>
    <n v="231000"/>
    <n v="4"/>
    <n v="2.5"/>
    <n v="2020"/>
    <n v="1990"/>
    <d v="2025-07-26T00:00:00"/>
    <x v="1"/>
  </r>
  <r>
    <s v="MEM044"/>
    <x v="2"/>
    <n v="184000"/>
    <n v="3"/>
    <n v="2"/>
    <n v="1510"/>
    <n v="1982"/>
    <d v="2025-07-30T00:00:00"/>
    <x v="1"/>
  </r>
  <r>
    <s v="MEM045"/>
    <x v="3"/>
    <n v="238000"/>
    <n v="4"/>
    <n v="3"/>
    <n v="2160"/>
    <n v="1993"/>
    <d v="2025-08-04T00:00:00"/>
    <x v="0"/>
  </r>
  <r>
    <s v="MEM046"/>
    <x v="1"/>
    <n v="104000"/>
    <n v="3"/>
    <n v="1"/>
    <n v="1160"/>
    <n v="1964"/>
    <d v="2025-08-09T00:00:00"/>
    <x v="0"/>
  </r>
  <r>
    <s v="MEM047"/>
    <x v="0"/>
    <n v="149000"/>
    <n v="3"/>
    <n v="2"/>
    <n v="1470"/>
    <n v="1974"/>
    <d v="2025-08-13T00:00:00"/>
    <x v="1"/>
  </r>
  <r>
    <s v="MEM048"/>
    <x v="4"/>
    <n v="212000"/>
    <n v="3"/>
    <n v="2"/>
    <n v="1590"/>
    <n v="1985"/>
    <d v="2025-08-17T00:00:00"/>
    <x v="0"/>
  </r>
  <r>
    <s v="MEM049"/>
    <x v="2"/>
    <n v="192000"/>
    <n v="4"/>
    <n v="2"/>
    <n v="1720"/>
    <n v="1986"/>
    <d v="2025-08-22T00:00:00"/>
    <x v="0"/>
  </r>
  <r>
    <s v="MEM050"/>
    <x v="3"/>
    <n v="245000"/>
    <n v="4"/>
    <n v="2.5"/>
    <n v="2070"/>
    <n v="1991"/>
    <d v="2025-08-27T00:00:00"/>
    <x v="1"/>
  </r>
  <r>
    <s v="MEM051"/>
    <x v="1"/>
    <n v="110000"/>
    <n v="3"/>
    <n v="1.5"/>
    <n v="1230"/>
    <n v="1965"/>
    <d v="2025-09-02T00:00:00"/>
    <x v="0"/>
  </r>
  <r>
    <s v="MEM052"/>
    <x v="0"/>
    <n v="155500"/>
    <n v="4"/>
    <n v="2"/>
    <n v="1660"/>
    <n v="1979"/>
    <d v="2025-09-06T00:00:00"/>
    <x v="0"/>
  </r>
  <r>
    <s v="MEM053"/>
    <x v="4"/>
    <n v="220000"/>
    <n v="3"/>
    <n v="2"/>
    <n v="1620"/>
    <n v="1982"/>
    <d v="2025-09-10T00:00:00"/>
    <x v="1"/>
  </r>
  <r>
    <s v="MEM054"/>
    <x v="2"/>
    <n v="179500"/>
    <n v="3"/>
    <n v="2"/>
    <n v="1480"/>
    <n v="1980"/>
    <d v="2025-09-15T00:00:00"/>
    <x v="0"/>
  </r>
  <r>
    <s v="MEM055"/>
    <x v="3"/>
    <n v="252000"/>
    <n v="4"/>
    <n v="3"/>
    <n v="2260"/>
    <n v="1996"/>
    <d v="2025-09-20T00:00:00"/>
    <x v="1"/>
  </r>
  <r>
    <s v="MEM056"/>
    <x v="1"/>
    <n v="97000"/>
    <n v="2"/>
    <n v="1"/>
    <n v="1020"/>
    <n v="1959"/>
    <d v="2025-09-24T00:00:00"/>
    <x v="0"/>
  </r>
  <r>
    <s v="MEM057"/>
    <x v="0"/>
    <n v="141000"/>
    <n v="3"/>
    <n v="1.5"/>
    <n v="1290"/>
    <n v="1971"/>
    <d v="2025-09-29T00:00:00"/>
    <x v="1"/>
  </r>
  <r>
    <s v="MEM058"/>
    <x v="4"/>
    <n v="207500"/>
    <n v="3"/>
    <n v="2"/>
    <n v="1560"/>
    <n v="1984"/>
    <d v="2025-10-03T00:00:00"/>
    <x v="0"/>
  </r>
  <r>
    <s v="MEM059"/>
    <x v="2"/>
    <n v="186000"/>
    <n v="4"/>
    <n v="2"/>
    <n v="1650"/>
    <n v="1983"/>
    <d v="2025-10-08T00:00:00"/>
    <x v="0"/>
  </r>
  <r>
    <s v="MEM060"/>
    <x v="3"/>
    <n v="232000"/>
    <n v="4"/>
    <n v="2.5"/>
    <n v="1980"/>
    <n v="1989"/>
    <d v="2025-10-13T00:00:00"/>
    <x v="1"/>
  </r>
  <r>
    <s v="MEM061"/>
    <x v="1"/>
    <n v="116000"/>
    <n v="3"/>
    <n v="1.5"/>
    <n v="1260"/>
    <n v="1967"/>
    <d v="2025-10-18T00:00:00"/>
    <x v="0"/>
  </r>
  <r>
    <s v="MEM062"/>
    <x v="0"/>
    <n v="163000"/>
    <n v="4"/>
    <n v="2"/>
    <n v="1740"/>
    <n v="1977"/>
    <d v="2025-10-22T00:00:00"/>
    <x v="0"/>
  </r>
  <r>
    <s v="MEM063"/>
    <x v="4"/>
    <n v="224000"/>
    <n v="3"/>
    <n v="2"/>
    <n v="1600"/>
    <n v="1981"/>
    <d v="2025-10-27T00:00:00"/>
    <x v="1"/>
  </r>
  <r>
    <s v="MEM064"/>
    <x v="2"/>
    <n v="191000"/>
    <n v="3"/>
    <n v="2"/>
    <n v="1550"/>
    <n v="1985"/>
    <d v="2025-11-01T00:00:00"/>
    <x v="0"/>
  </r>
  <r>
    <s v="MEM065"/>
    <x v="3"/>
    <n v="247000"/>
    <n v="4"/>
    <n v="3"/>
    <n v="2200"/>
    <n v="1994"/>
    <d v="2025-11-06T00:00:00"/>
    <x v="1"/>
  </r>
  <r>
    <s v="MEM066"/>
    <x v="1"/>
    <n v="107500"/>
    <n v="3"/>
    <n v="1"/>
    <n v="1140"/>
    <n v="1963"/>
    <d v="2025-11-11T00:00:00"/>
    <x v="0"/>
  </r>
  <r>
    <s v="MEM067"/>
    <x v="0"/>
    <n v="147500"/>
    <n v="3"/>
    <n v="2"/>
    <n v="1520"/>
    <n v="1974"/>
    <d v="2025-11-15T00:00:00"/>
    <x v="0"/>
  </r>
  <r>
    <s v="MEM068"/>
    <x v="4"/>
    <n v="211000"/>
    <n v="3"/>
    <n v="2"/>
    <n v="1570"/>
    <n v="1983"/>
    <d v="2025-11-20T00:00:00"/>
    <x v="1"/>
  </r>
  <r>
    <s v="MEM069"/>
    <x v="2"/>
    <n v="183500"/>
    <n v="4"/>
    <n v="2"/>
    <n v="1680"/>
    <n v="1981"/>
    <d v="2025-11-24T00:00:00"/>
    <x v="0"/>
  </r>
  <r>
    <s v="MEM070"/>
    <x v="3"/>
    <n v="239000"/>
    <n v="4"/>
    <n v="2.5"/>
    <n v="2040"/>
    <n v="1990"/>
    <d v="2025-11-29T00:00:00"/>
    <x v="1"/>
  </r>
  <r>
    <s v="MEM071"/>
    <x v="1"/>
    <n v="113000"/>
    <n v="3"/>
    <n v="1.5"/>
    <n v="1240"/>
    <n v="1966"/>
    <d v="2025-12-03T00:00:00"/>
    <x v="0"/>
  </r>
  <r>
    <s v="MEM072"/>
    <x v="0"/>
    <n v="159000"/>
    <n v="4"/>
    <n v="2"/>
    <n v="1690"/>
    <n v="1978"/>
    <d v="2025-12-07T00:00:00"/>
    <x v="0"/>
  </r>
  <r>
    <s v="MEM073"/>
    <x v="4"/>
    <n v="229000"/>
    <n v="4"/>
    <n v="2.5"/>
    <n v="2000"/>
    <n v="1988"/>
    <d v="2025-12-11T00:00:00"/>
    <x v="1"/>
  </r>
  <r>
    <s v="MEM074"/>
    <x v="2"/>
    <n v="177000"/>
    <n v="3"/>
    <n v="2"/>
    <n v="1440"/>
    <n v="1977"/>
    <d v="2025-12-15T00:00:00"/>
    <x v="0"/>
  </r>
  <r>
    <s v="MEM075"/>
    <x v="3"/>
    <n v="255000"/>
    <n v="4"/>
    <n v="3"/>
    <n v="2320"/>
    <n v="1997"/>
    <d v="2025-12-20T00:00:00"/>
    <x v="1"/>
  </r>
  <r>
    <s v="MEM076"/>
    <x v="1"/>
    <n v="102000"/>
    <n v="2"/>
    <n v="1"/>
    <n v="1070"/>
    <n v="1960"/>
    <d v="2025-12-23T00:00:00"/>
    <x v="0"/>
  </r>
  <r>
    <s v="MEM077"/>
    <x v="0"/>
    <n v="143500"/>
    <n v="3"/>
    <n v="2"/>
    <n v="1460"/>
    <n v="1972"/>
    <d v="2025-12-26T00:00:00"/>
    <x v="1"/>
  </r>
  <r>
    <s v="MEM078"/>
    <x v="4"/>
    <n v="216000"/>
    <n v="3"/>
    <n v="2"/>
    <n v="1530"/>
    <n v="1985"/>
    <d v="2025-12-28T00:00:00"/>
    <x v="0"/>
  </r>
  <r>
    <s v="MEM079"/>
    <x v="2"/>
    <n v="188000"/>
    <n v="4"/>
    <n v="2"/>
    <n v="1710"/>
    <n v="1984"/>
    <d v="2025-12-29T00:00:00"/>
    <x v="0"/>
  </r>
  <r>
    <s v="MEM080"/>
    <x v="3"/>
    <n v="241000"/>
    <n v="4"/>
    <n v="2.5"/>
    <n v="2060"/>
    <n v="1992"/>
    <d v="2025-12-30T00:00:00"/>
    <x v="1"/>
  </r>
  <r>
    <s v="MEM081"/>
    <x v="1"/>
    <n v="121000"/>
    <n v="3"/>
    <n v="2"/>
    <n v="1350"/>
    <n v="1968"/>
    <d v="2026-01-04T00:00:00"/>
    <x v="0"/>
  </r>
  <r>
    <s v="MEM082"/>
    <x v="0"/>
    <n v="157000"/>
    <n v="4"/>
    <n v="2"/>
    <n v="1650"/>
    <n v="1976"/>
    <d v="2026-01-08T00:00:00"/>
    <x v="0"/>
  </r>
  <r>
    <s v="MEM083"/>
    <x v="4"/>
    <n v="222000"/>
    <n v="3"/>
    <n v="2"/>
    <n v="1590"/>
    <n v="1982"/>
    <d v="2026-01-12T00:00:00"/>
    <x v="1"/>
  </r>
  <r>
    <s v="MEM084"/>
    <x v="2"/>
    <n v="193000"/>
    <n v="3"/>
    <n v="2"/>
    <n v="1570"/>
    <n v="1986"/>
    <d v="2026-01-17T00:00:00"/>
    <x v="0"/>
  </r>
  <r>
    <s v="MEM085"/>
    <x v="3"/>
    <n v="248000"/>
    <n v="4"/>
    <n v="3"/>
    <n v="2180"/>
    <n v="1993"/>
    <d v="2026-01-21T00:00:00"/>
    <x v="1"/>
  </r>
  <r>
    <s v="MEM086"/>
    <x v="1"/>
    <n v="109000"/>
    <n v="3"/>
    <n v="1"/>
    <n v="1190"/>
    <n v="1964"/>
    <d v="2026-01-26T00:00:00"/>
    <x v="0"/>
  </r>
  <r>
    <s v="MEM087"/>
    <x v="0"/>
    <n v="151000"/>
    <n v="3"/>
    <n v="2"/>
    <n v="1490"/>
    <n v="1973"/>
    <d v="2026-02-02T00:00:00"/>
    <x v="1"/>
  </r>
  <r>
    <s v="MEM088"/>
    <x v="4"/>
    <n v="214000"/>
    <n v="3"/>
    <n v="2"/>
    <n v="1540"/>
    <n v="1984"/>
    <d v="2026-02-06T00:00:00"/>
    <x v="0"/>
  </r>
  <r>
    <s v="MEM089"/>
    <x v="2"/>
    <n v="185500"/>
    <n v="4"/>
    <n v="2"/>
    <n v="1670"/>
    <n v="1982"/>
    <d v="2026-02-11T00:00:00"/>
    <x v="0"/>
  </r>
  <r>
    <s v="MEM090"/>
    <x v="3"/>
    <n v="236000"/>
    <n v="4"/>
    <n v="2.5"/>
    <n v="2020"/>
    <n v="1989"/>
    <d v="2026-02-16T00:00:00"/>
    <x v="1"/>
  </r>
  <r>
    <s v="MEM091"/>
    <x v="1"/>
    <n v="117000"/>
    <n v="3"/>
    <n v="1.5"/>
    <n v="1280"/>
    <n v="1967"/>
    <d v="2026-02-20T00:00:00"/>
    <x v="0"/>
  </r>
  <r>
    <s v="MEM092"/>
    <x v="0"/>
    <n v="160500"/>
    <n v="4"/>
    <n v="2"/>
    <n v="1720"/>
    <n v="1979"/>
    <d v="2026-02-24T00:00:00"/>
    <x v="0"/>
  </r>
  <r>
    <s v="MEM093"/>
    <x v="4"/>
    <n v="226000"/>
    <n v="3"/>
    <n v="2"/>
    <n v="1610"/>
    <n v="1983"/>
    <d v="2026-02-28T00:00:00"/>
    <x v="1"/>
  </r>
  <r>
    <s v="MEM094"/>
    <x v="2"/>
    <n v="180000"/>
    <n v="3"/>
    <n v="2"/>
    <n v="1500"/>
    <n v="1980"/>
    <d v="2026-03-03T00:00:00"/>
    <x v="0"/>
  </r>
  <r>
    <s v="MEM095"/>
    <x v="3"/>
    <n v="251000"/>
    <n v="4"/>
    <n v="3"/>
    <n v="2250"/>
    <n v="1995"/>
    <d v="2026-03-08T00:00:00"/>
    <x v="1"/>
  </r>
  <r>
    <s v="MEM096"/>
    <x v="1"/>
    <n v="103500"/>
    <n v="2"/>
    <n v="1"/>
    <n v="1040"/>
    <n v="1961"/>
    <d v="2026-03-12T00:00:00"/>
    <x v="0"/>
  </r>
  <r>
    <s v="MEM097"/>
    <x v="0"/>
    <n v="146500"/>
    <n v="3"/>
    <n v="1.5"/>
    <n v="1380"/>
    <n v="1971"/>
    <d v="2026-03-17T00:00:00"/>
    <x v="1"/>
  </r>
  <r>
    <s v="MEM098"/>
    <x v="4"/>
    <n v="219500"/>
    <n v="3"/>
    <n v="2"/>
    <n v="1580"/>
    <n v="1985"/>
    <d v="2026-03-21T00:00:00"/>
    <x v="0"/>
  </r>
  <r>
    <s v="MEM099"/>
    <x v="2"/>
    <n v="190000"/>
    <n v="4"/>
    <n v="2"/>
    <n v="1700"/>
    <n v="1987"/>
    <d v="2026-03-25T00:00:00"/>
    <x v="0"/>
  </r>
  <r>
    <s v="MEM100"/>
    <x v="3"/>
    <n v="244000"/>
    <n v="4"/>
    <n v="2.5"/>
    <n v="2050"/>
    <n v="1991"/>
    <d v="2026-03-29T00:00:0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MEM001"/>
    <x v="0"/>
    <n v="142500"/>
    <n v="3"/>
    <n v="2"/>
    <n v="1450"/>
    <n v="1972"/>
    <d v="2025-01-08T00:00:00"/>
    <x v="0"/>
    <n v="98.275862068965523"/>
  </r>
  <r>
    <s v="MEM002"/>
    <x v="1"/>
    <n v="118000"/>
    <n v="3"/>
    <n v="1.5"/>
    <n v="1320"/>
    <n v="1968"/>
    <d v="2025-01-12T00:00:00"/>
    <x v="1"/>
    <n v="89.393939393939391"/>
  </r>
  <r>
    <s v="MEM003"/>
    <x v="0"/>
    <n v="155000"/>
    <n v="4"/>
    <n v="2"/>
    <n v="1680"/>
    <n v="1975"/>
    <d v="2025-01-18T00:00:00"/>
    <x v="0"/>
    <n v="92.261904761904759"/>
  </r>
  <r>
    <s v="MEM004"/>
    <x v="2"/>
    <n v="185000"/>
    <n v="3"/>
    <n v="2"/>
    <n v="1540"/>
    <n v="1984"/>
    <d v="2025-01-22T00:00:00"/>
    <x v="1"/>
    <n v="120.12987012987013"/>
  </r>
  <r>
    <s v="MEM005"/>
    <x v="3"/>
    <n v="210000"/>
    <n v="4"/>
    <n v="2.5"/>
    <n v="1920"/>
    <n v="1988"/>
    <d v="2025-01-29T00:00:00"/>
    <x v="1"/>
    <n v="109.375"/>
  </r>
  <r>
    <s v="MEM006"/>
    <x v="1"/>
    <n v="105000"/>
    <n v="3"/>
    <n v="1"/>
    <n v="1180"/>
    <n v="1962"/>
    <d v="2025-02-03T00:00:00"/>
    <x v="0"/>
    <n v="88.983050847457633"/>
  </r>
  <r>
    <s v="MEM007"/>
    <x v="0"/>
    <n v="139500"/>
    <n v="3"/>
    <n v="2"/>
    <n v="1410"/>
    <n v="1970"/>
    <d v="2025-02-07T00:00:00"/>
    <x v="0"/>
    <n v="98.936170212765958"/>
  </r>
  <r>
    <s v="MEM008"/>
    <x v="4"/>
    <n v="198000"/>
    <n v="3"/>
    <n v="2"/>
    <n v="1600"/>
    <n v="1982"/>
    <d v="2025-02-11T00:00:00"/>
    <x v="1"/>
    <n v="123.75"/>
  </r>
  <r>
    <s v="MEM009"/>
    <x v="2"/>
    <n v="172000"/>
    <n v="3"/>
    <n v="2"/>
    <n v="1490"/>
    <n v="1980"/>
    <d v="2025-02-15T00:00:00"/>
    <x v="0"/>
    <n v="115.43624161073825"/>
  </r>
  <r>
    <s v="MEM010"/>
    <x v="3"/>
    <n v="225000"/>
    <n v="4"/>
    <n v="2.5"/>
    <n v="2050"/>
    <n v="1990"/>
    <d v="2025-02-21T00:00:00"/>
    <x v="1"/>
    <n v="109.7560975609756"/>
  </r>
  <r>
    <s v="MEM011"/>
    <x v="1"/>
    <n v="112500"/>
    <n v="3"/>
    <n v="1.5"/>
    <n v="1250"/>
    <n v="1965"/>
    <d v="2025-03-02T00:00:00"/>
    <x v="0"/>
    <n v="90"/>
  </r>
  <r>
    <s v="MEM012"/>
    <x v="0"/>
    <n v="148000"/>
    <n v="4"/>
    <n v="2"/>
    <n v="1575"/>
    <n v="1976"/>
    <d v="2025-03-06T00:00:00"/>
    <x v="0"/>
    <n v="93.968253968253961"/>
  </r>
  <r>
    <s v="MEM013"/>
    <x v="4"/>
    <n v="215000"/>
    <n v="4"/>
    <n v="2.5"/>
    <n v="1980"/>
    <n v="1986"/>
    <d v="2025-03-10T00:00:00"/>
    <x v="1"/>
    <n v="108.58585858585859"/>
  </r>
  <r>
    <s v="MEM014"/>
    <x v="2"/>
    <n v="189000"/>
    <n v="3"/>
    <n v="2"/>
    <n v="1620"/>
    <n v="1983"/>
    <d v="2025-03-14T00:00:00"/>
    <x v="0"/>
    <n v="116.66666666666667"/>
  </r>
  <r>
    <s v="MEM015"/>
    <x v="3"/>
    <n v="235000"/>
    <n v="4"/>
    <n v="3"/>
    <n v="2180"/>
    <n v="1992"/>
    <d v="2025-03-19T00:00:00"/>
    <x v="1"/>
    <n v="107.79816513761467"/>
  </r>
  <r>
    <s v="MEM016"/>
    <x v="1"/>
    <n v="99000"/>
    <n v="2"/>
    <n v="1"/>
    <n v="1050"/>
    <n v="1960"/>
    <d v="2025-03-24T00:00:00"/>
    <x v="0"/>
    <n v="94.285714285714292"/>
  </r>
  <r>
    <s v="MEM017"/>
    <x v="0"/>
    <n v="132000"/>
    <n v="3"/>
    <n v="1.5"/>
    <n v="1280"/>
    <n v="1969"/>
    <d v="2025-03-28T00:00:00"/>
    <x v="1"/>
    <n v="103.125"/>
  </r>
  <r>
    <s v="MEM018"/>
    <x v="4"/>
    <n v="205000"/>
    <n v="3"/>
    <n v="2"/>
    <n v="1510"/>
    <n v="1981"/>
    <d v="2025-04-03T00:00:00"/>
    <x v="0"/>
    <n v="135.76158940397352"/>
  </r>
  <r>
    <s v="MEM019"/>
    <x v="2"/>
    <n v="178500"/>
    <n v="3"/>
    <n v="2"/>
    <n v="1460"/>
    <n v="1979"/>
    <d v="2025-04-07T00:00:00"/>
    <x v="0"/>
    <n v="122.26027397260275"/>
  </r>
  <r>
    <s v="MEM020"/>
    <x v="3"/>
    <n v="219000"/>
    <n v="4"/>
    <n v="2.5"/>
    <n v="1880"/>
    <n v="1987"/>
    <d v="2025-04-11T00:00:00"/>
    <x v="1"/>
    <n v="116.48936170212765"/>
  </r>
  <r>
    <s v="MEM021"/>
    <x v="1"/>
    <n v="125000"/>
    <n v="3"/>
    <n v="2"/>
    <n v="1360"/>
    <n v="1971"/>
    <d v="2025-04-17T00:00:00"/>
    <x v="0"/>
    <n v="91.911764705882348"/>
  </r>
  <r>
    <s v="MEM022"/>
    <x v="0"/>
    <n v="161000"/>
    <n v="4"/>
    <n v="2"/>
    <n v="1710"/>
    <n v="1977"/>
    <d v="2025-04-21T00:00:00"/>
    <x v="0"/>
    <n v="94.152046783625735"/>
  </r>
  <r>
    <s v="MEM023"/>
    <x v="4"/>
    <n v="227500"/>
    <n v="4"/>
    <n v="2.5"/>
    <n v="2100"/>
    <n v="1991"/>
    <d v="2025-04-25T00:00:00"/>
    <x v="1"/>
    <n v="108.33333333333333"/>
  </r>
  <r>
    <s v="MEM024"/>
    <x v="2"/>
    <n v="195000"/>
    <n v="3"/>
    <n v="2"/>
    <n v="1580"/>
    <n v="1985"/>
    <d v="2025-05-02T00:00:00"/>
    <x v="1"/>
    <n v="123.41772151898734"/>
  </r>
  <r>
    <s v="MEM025"/>
    <x v="3"/>
    <n v="242000"/>
    <n v="4"/>
    <n v="3"/>
    <n v="2240"/>
    <n v="1994"/>
    <d v="2025-05-06T00:00:00"/>
    <x v="0"/>
    <n v="108.03571428571429"/>
  </r>
  <r>
    <s v="MEM026"/>
    <x v="1"/>
    <n v="108000"/>
    <n v="3"/>
    <n v="1"/>
    <n v="1200"/>
    <n v="1963"/>
    <d v="2025-05-10T00:00:00"/>
    <x v="0"/>
    <n v="90"/>
  </r>
  <r>
    <s v="MEM027"/>
    <x v="0"/>
    <n v="145000"/>
    <n v="3"/>
    <n v="2"/>
    <n v="1500"/>
    <n v="1973"/>
    <d v="2025-05-14T00:00:00"/>
    <x v="1"/>
    <n v="96.666666666666671"/>
  </r>
  <r>
    <s v="MEM028"/>
    <x v="4"/>
    <n v="202000"/>
    <n v="3"/>
    <n v="2"/>
    <n v="1550"/>
    <n v="1980"/>
    <d v="2025-05-19T00:00:00"/>
    <x v="0"/>
    <n v="130.32258064516128"/>
  </r>
  <r>
    <s v="MEM029"/>
    <x v="2"/>
    <n v="181000"/>
    <n v="4"/>
    <n v="2"/>
    <n v="1690"/>
    <n v="1982"/>
    <d v="2025-05-23T00:00:00"/>
    <x v="0"/>
    <n v="107.10059171597634"/>
  </r>
  <r>
    <s v="MEM030"/>
    <x v="3"/>
    <n v="228000"/>
    <n v="4"/>
    <n v="2.5"/>
    <n v="2010"/>
    <n v="1989"/>
    <d v="2025-05-28T00:00:00"/>
    <x v="1"/>
    <n v="113.43283582089552"/>
  </r>
  <r>
    <s v="MEM031"/>
    <x v="1"/>
    <n v="115000"/>
    <n v="3"/>
    <n v="1.5"/>
    <n v="1270"/>
    <n v="1967"/>
    <d v="2025-06-03T00:00:00"/>
    <x v="0"/>
    <n v="90.551181102362207"/>
  </r>
  <r>
    <s v="MEM032"/>
    <x v="0"/>
    <n v="152000"/>
    <n v="4"/>
    <n v="2"/>
    <n v="1630"/>
    <n v="1978"/>
    <d v="2025-06-07T00:00:00"/>
    <x v="0"/>
    <n v="93.25153374233129"/>
  </r>
  <r>
    <s v="MEM033"/>
    <x v="4"/>
    <n v="218000"/>
    <n v="3"/>
    <n v="2"/>
    <n v="1640"/>
    <n v="1984"/>
    <d v="2025-06-11T00:00:00"/>
    <x v="1"/>
    <n v="132.92682926829269"/>
  </r>
  <r>
    <s v="MEM034"/>
    <x v="2"/>
    <n v="187500"/>
    <n v="3"/>
    <n v="2"/>
    <n v="1520"/>
    <n v="1981"/>
    <d v="2025-06-16T00:00:00"/>
    <x v="0"/>
    <n v="123.35526315789474"/>
  </r>
  <r>
    <s v="MEM035"/>
    <x v="3"/>
    <n v="249000"/>
    <n v="4"/>
    <n v="3"/>
    <n v="2300"/>
    <n v="1995"/>
    <d v="2025-06-20T00:00:00"/>
    <x v="1"/>
    <n v="108.26086956521739"/>
  </r>
  <r>
    <s v="MEM036"/>
    <x v="1"/>
    <n v="101000"/>
    <n v="2"/>
    <n v="1"/>
    <n v="1080"/>
    <n v="1961"/>
    <d v="2025-06-25T00:00:00"/>
    <x v="0"/>
    <n v="93.518518518518519"/>
  </r>
  <r>
    <s v="MEM037"/>
    <x v="0"/>
    <n v="137500"/>
    <n v="3"/>
    <n v="1.5"/>
    <n v="1340"/>
    <n v="1970"/>
    <d v="2025-06-29T00:00:00"/>
    <x v="1"/>
    <n v="102.61194029850746"/>
  </r>
  <r>
    <s v="MEM038"/>
    <x v="4"/>
    <n v="209000"/>
    <n v="3"/>
    <n v="2"/>
    <n v="1580"/>
    <n v="1983"/>
    <d v="2025-07-03T00:00:00"/>
    <x v="0"/>
    <n v="132.27848101265823"/>
  </r>
  <r>
    <s v="MEM039"/>
    <x v="2"/>
    <n v="176000"/>
    <n v="3"/>
    <n v="2"/>
    <n v="1450"/>
    <n v="1978"/>
    <d v="2025-07-08T00:00:00"/>
    <x v="0"/>
    <n v="121.37931034482759"/>
  </r>
  <r>
    <s v="MEM040"/>
    <x v="3"/>
    <n v="221000"/>
    <n v="4"/>
    <n v="2.5"/>
    <n v="1940"/>
    <n v="1988"/>
    <d v="2025-07-12T00:00:00"/>
    <x v="1"/>
    <n v="113.91752577319588"/>
  </r>
  <r>
    <s v="MEM041"/>
    <x v="1"/>
    <n v="119000"/>
    <n v="3"/>
    <n v="2"/>
    <n v="1310"/>
    <n v="1966"/>
    <d v="2025-07-17T00:00:00"/>
    <x v="0"/>
    <n v="90.839694656488547"/>
  </r>
  <r>
    <s v="MEM042"/>
    <x v="0"/>
    <n v="158000"/>
    <n v="4"/>
    <n v="2"/>
    <n v="1700"/>
    <n v="1976"/>
    <d v="2025-07-21T00:00:00"/>
    <x v="0"/>
    <n v="92.941176470588232"/>
  </r>
  <r>
    <s v="MEM043"/>
    <x v="4"/>
    <n v="231000"/>
    <n v="4"/>
    <n v="2.5"/>
    <n v="2020"/>
    <n v="1990"/>
    <d v="2025-07-26T00:00:00"/>
    <x v="1"/>
    <n v="114.35643564356435"/>
  </r>
  <r>
    <s v="MEM044"/>
    <x v="2"/>
    <n v="184000"/>
    <n v="3"/>
    <n v="2"/>
    <n v="1510"/>
    <n v="1982"/>
    <d v="2025-07-30T00:00:00"/>
    <x v="1"/>
    <n v="121.85430463576159"/>
  </r>
  <r>
    <s v="MEM045"/>
    <x v="3"/>
    <n v="238000"/>
    <n v="4"/>
    <n v="3"/>
    <n v="2160"/>
    <n v="1993"/>
    <d v="2025-08-04T00:00:00"/>
    <x v="0"/>
    <n v="110.18518518518519"/>
  </r>
  <r>
    <s v="MEM046"/>
    <x v="1"/>
    <n v="104000"/>
    <n v="3"/>
    <n v="1"/>
    <n v="1160"/>
    <n v="1964"/>
    <d v="2025-08-09T00:00:00"/>
    <x v="0"/>
    <n v="89.65517241379311"/>
  </r>
  <r>
    <s v="MEM047"/>
    <x v="0"/>
    <n v="149000"/>
    <n v="3"/>
    <n v="2"/>
    <n v="1470"/>
    <n v="1974"/>
    <d v="2025-08-13T00:00:00"/>
    <x v="1"/>
    <n v="101.36054421768708"/>
  </r>
  <r>
    <s v="MEM048"/>
    <x v="4"/>
    <n v="212000"/>
    <n v="3"/>
    <n v="2"/>
    <n v="1590"/>
    <n v="1985"/>
    <d v="2025-08-17T00:00:00"/>
    <x v="0"/>
    <n v="133.33333333333334"/>
  </r>
  <r>
    <s v="MEM049"/>
    <x v="2"/>
    <n v="192000"/>
    <n v="4"/>
    <n v="2"/>
    <n v="1720"/>
    <n v="1986"/>
    <d v="2025-08-22T00:00:00"/>
    <x v="0"/>
    <n v="111.62790697674419"/>
  </r>
  <r>
    <s v="MEM050"/>
    <x v="3"/>
    <n v="245000"/>
    <n v="4"/>
    <n v="2.5"/>
    <n v="2070"/>
    <n v="1991"/>
    <d v="2025-08-27T00:00:00"/>
    <x v="1"/>
    <n v="118.35748792270532"/>
  </r>
  <r>
    <s v="MEM051"/>
    <x v="1"/>
    <n v="110000"/>
    <n v="3"/>
    <n v="1.5"/>
    <n v="1230"/>
    <n v="1965"/>
    <d v="2025-09-02T00:00:00"/>
    <x v="0"/>
    <n v="89.430894308943095"/>
  </r>
  <r>
    <s v="MEM052"/>
    <x v="0"/>
    <n v="155500"/>
    <n v="4"/>
    <n v="2"/>
    <n v="1660"/>
    <n v="1979"/>
    <d v="2025-09-06T00:00:00"/>
    <x v="0"/>
    <n v="93.674698795180717"/>
  </r>
  <r>
    <s v="MEM053"/>
    <x v="4"/>
    <n v="220000"/>
    <n v="3"/>
    <n v="2"/>
    <n v="1620"/>
    <n v="1982"/>
    <d v="2025-09-10T00:00:00"/>
    <x v="1"/>
    <n v="135.80246913580248"/>
  </r>
  <r>
    <s v="MEM054"/>
    <x v="2"/>
    <n v="179500"/>
    <n v="3"/>
    <n v="2"/>
    <n v="1480"/>
    <n v="1980"/>
    <d v="2025-09-15T00:00:00"/>
    <x v="0"/>
    <n v="121.28378378378379"/>
  </r>
  <r>
    <s v="MEM055"/>
    <x v="3"/>
    <n v="252000"/>
    <n v="4"/>
    <n v="3"/>
    <n v="2260"/>
    <n v="1996"/>
    <d v="2025-09-20T00:00:00"/>
    <x v="1"/>
    <n v="111.50442477876106"/>
  </r>
  <r>
    <s v="MEM056"/>
    <x v="1"/>
    <n v="97000"/>
    <n v="2"/>
    <n v="1"/>
    <n v="1020"/>
    <n v="1959"/>
    <d v="2025-09-24T00:00:00"/>
    <x v="0"/>
    <n v="95.098039215686271"/>
  </r>
  <r>
    <s v="MEM057"/>
    <x v="0"/>
    <n v="141000"/>
    <n v="3"/>
    <n v="1.5"/>
    <n v="1290"/>
    <n v="1971"/>
    <d v="2025-09-29T00:00:00"/>
    <x v="1"/>
    <n v="109.30232558139535"/>
  </r>
  <r>
    <s v="MEM058"/>
    <x v="4"/>
    <n v="207500"/>
    <n v="3"/>
    <n v="2"/>
    <n v="1560"/>
    <n v="1984"/>
    <d v="2025-10-03T00:00:00"/>
    <x v="0"/>
    <n v="133.01282051282053"/>
  </r>
  <r>
    <s v="MEM059"/>
    <x v="2"/>
    <n v="186000"/>
    <n v="4"/>
    <n v="2"/>
    <n v="1650"/>
    <n v="1983"/>
    <d v="2025-10-08T00:00:00"/>
    <x v="0"/>
    <n v="112.72727272727273"/>
  </r>
  <r>
    <s v="MEM060"/>
    <x v="3"/>
    <n v="232000"/>
    <n v="4"/>
    <n v="2.5"/>
    <n v="1980"/>
    <n v="1989"/>
    <d v="2025-10-13T00:00:00"/>
    <x v="1"/>
    <n v="117.17171717171718"/>
  </r>
  <r>
    <s v="MEM061"/>
    <x v="1"/>
    <n v="116000"/>
    <n v="3"/>
    <n v="1.5"/>
    <n v="1260"/>
    <n v="1967"/>
    <d v="2025-10-18T00:00:00"/>
    <x v="0"/>
    <n v="92.063492063492063"/>
  </r>
  <r>
    <s v="MEM062"/>
    <x v="0"/>
    <n v="163000"/>
    <n v="4"/>
    <n v="2"/>
    <n v="1740"/>
    <n v="1977"/>
    <d v="2025-10-22T00:00:00"/>
    <x v="0"/>
    <n v="93.678160919540232"/>
  </r>
  <r>
    <s v="MEM063"/>
    <x v="4"/>
    <n v="224000"/>
    <n v="3"/>
    <n v="2"/>
    <n v="1600"/>
    <n v="1981"/>
    <d v="2025-10-27T00:00:00"/>
    <x v="1"/>
    <n v="140"/>
  </r>
  <r>
    <s v="MEM064"/>
    <x v="2"/>
    <n v="191000"/>
    <n v="3"/>
    <n v="2"/>
    <n v="1550"/>
    <n v="1985"/>
    <d v="2025-11-01T00:00:00"/>
    <x v="0"/>
    <n v="123.2258064516129"/>
  </r>
  <r>
    <s v="MEM065"/>
    <x v="3"/>
    <n v="247000"/>
    <n v="4"/>
    <n v="3"/>
    <n v="2200"/>
    <n v="1994"/>
    <d v="2025-11-06T00:00:00"/>
    <x v="1"/>
    <n v="112.27272727272727"/>
  </r>
  <r>
    <s v="MEM066"/>
    <x v="1"/>
    <n v="107500"/>
    <n v="3"/>
    <n v="1"/>
    <n v="1140"/>
    <n v="1963"/>
    <d v="2025-11-11T00:00:00"/>
    <x v="0"/>
    <n v="94.298245614035082"/>
  </r>
  <r>
    <s v="MEM067"/>
    <x v="0"/>
    <n v="147500"/>
    <n v="3"/>
    <n v="2"/>
    <n v="1520"/>
    <n v="1974"/>
    <d v="2025-11-15T00:00:00"/>
    <x v="0"/>
    <n v="97.03947368421052"/>
  </r>
  <r>
    <s v="MEM068"/>
    <x v="4"/>
    <n v="211000"/>
    <n v="3"/>
    <n v="2"/>
    <n v="1570"/>
    <n v="1983"/>
    <d v="2025-11-20T00:00:00"/>
    <x v="1"/>
    <n v="134.39490445859872"/>
  </r>
  <r>
    <s v="MEM069"/>
    <x v="2"/>
    <n v="183500"/>
    <n v="4"/>
    <n v="2"/>
    <n v="1680"/>
    <n v="1981"/>
    <d v="2025-11-24T00:00:00"/>
    <x v="0"/>
    <n v="109.22619047619048"/>
  </r>
  <r>
    <s v="MEM070"/>
    <x v="3"/>
    <n v="239000"/>
    <n v="4"/>
    <n v="2.5"/>
    <n v="2040"/>
    <n v="1990"/>
    <d v="2025-11-29T00:00:00"/>
    <x v="1"/>
    <n v="117.15686274509804"/>
  </r>
  <r>
    <s v="MEM071"/>
    <x v="1"/>
    <n v="113000"/>
    <n v="3"/>
    <n v="1.5"/>
    <n v="1240"/>
    <n v="1966"/>
    <d v="2025-12-03T00:00:00"/>
    <x v="0"/>
    <n v="91.129032258064512"/>
  </r>
  <r>
    <s v="MEM072"/>
    <x v="0"/>
    <n v="159000"/>
    <n v="4"/>
    <n v="2"/>
    <n v="1690"/>
    <n v="1978"/>
    <d v="2025-12-07T00:00:00"/>
    <x v="0"/>
    <n v="94.082840236686394"/>
  </r>
  <r>
    <s v="MEM073"/>
    <x v="4"/>
    <n v="229000"/>
    <n v="4"/>
    <n v="2.5"/>
    <n v="2000"/>
    <n v="1988"/>
    <d v="2025-12-11T00:00:00"/>
    <x v="1"/>
    <n v="114.5"/>
  </r>
  <r>
    <s v="MEM074"/>
    <x v="2"/>
    <n v="177000"/>
    <n v="3"/>
    <n v="2"/>
    <n v="1440"/>
    <n v="1977"/>
    <d v="2025-12-15T00:00:00"/>
    <x v="0"/>
    <n v="122.91666666666667"/>
  </r>
  <r>
    <s v="MEM075"/>
    <x v="3"/>
    <n v="255000"/>
    <n v="4"/>
    <n v="3"/>
    <n v="2320"/>
    <n v="1997"/>
    <d v="2025-12-20T00:00:00"/>
    <x v="1"/>
    <n v="109.91379310344827"/>
  </r>
  <r>
    <s v="MEM076"/>
    <x v="1"/>
    <n v="102000"/>
    <n v="2"/>
    <n v="1"/>
    <n v="1070"/>
    <n v="1960"/>
    <d v="2025-12-23T00:00:00"/>
    <x v="0"/>
    <n v="95.327102803738313"/>
  </r>
  <r>
    <s v="MEM077"/>
    <x v="0"/>
    <n v="143500"/>
    <n v="3"/>
    <n v="2"/>
    <n v="1460"/>
    <n v="1972"/>
    <d v="2025-12-26T00:00:00"/>
    <x v="1"/>
    <n v="98.287671232876718"/>
  </r>
  <r>
    <s v="MEM078"/>
    <x v="4"/>
    <n v="216000"/>
    <n v="3"/>
    <n v="2"/>
    <n v="1530"/>
    <n v="1985"/>
    <d v="2025-12-28T00:00:00"/>
    <x v="0"/>
    <n v="141.1764705882353"/>
  </r>
  <r>
    <s v="MEM079"/>
    <x v="2"/>
    <n v="188000"/>
    <n v="4"/>
    <n v="2"/>
    <n v="1710"/>
    <n v="1984"/>
    <d v="2025-12-29T00:00:00"/>
    <x v="0"/>
    <n v="109.94152046783626"/>
  </r>
  <r>
    <s v="MEM080"/>
    <x v="3"/>
    <n v="241000"/>
    <n v="4"/>
    <n v="2.5"/>
    <n v="2060"/>
    <n v="1992"/>
    <d v="2025-12-30T00:00:00"/>
    <x v="1"/>
    <n v="116.99029126213593"/>
  </r>
  <r>
    <s v="MEM081"/>
    <x v="1"/>
    <n v="121000"/>
    <n v="3"/>
    <n v="2"/>
    <n v="1350"/>
    <n v="1968"/>
    <d v="2026-01-04T00:00:00"/>
    <x v="0"/>
    <n v="89.629629629629633"/>
  </r>
  <r>
    <s v="MEM082"/>
    <x v="0"/>
    <n v="157000"/>
    <n v="4"/>
    <n v="2"/>
    <n v="1650"/>
    <n v="1976"/>
    <d v="2026-01-08T00:00:00"/>
    <x v="0"/>
    <n v="95.151515151515156"/>
  </r>
  <r>
    <s v="MEM083"/>
    <x v="4"/>
    <n v="222000"/>
    <n v="3"/>
    <n v="2"/>
    <n v="1590"/>
    <n v="1982"/>
    <d v="2026-01-12T00:00:00"/>
    <x v="1"/>
    <n v="139.62264150943398"/>
  </r>
  <r>
    <s v="MEM084"/>
    <x v="2"/>
    <n v="193000"/>
    <n v="3"/>
    <n v="2"/>
    <n v="1570"/>
    <n v="1986"/>
    <d v="2026-01-17T00:00:00"/>
    <x v="0"/>
    <n v="122.92993630573248"/>
  </r>
  <r>
    <s v="MEM085"/>
    <x v="3"/>
    <n v="248000"/>
    <n v="4"/>
    <n v="3"/>
    <n v="2180"/>
    <n v="1993"/>
    <d v="2026-01-21T00:00:00"/>
    <x v="1"/>
    <n v="113.76146788990826"/>
  </r>
  <r>
    <s v="MEM086"/>
    <x v="1"/>
    <n v="109000"/>
    <n v="3"/>
    <n v="1"/>
    <n v="1190"/>
    <n v="1964"/>
    <d v="2026-01-26T00:00:00"/>
    <x v="0"/>
    <n v="91.596638655462186"/>
  </r>
  <r>
    <s v="MEM087"/>
    <x v="0"/>
    <n v="151000"/>
    <n v="3"/>
    <n v="2"/>
    <n v="1490"/>
    <n v="1973"/>
    <d v="2026-02-02T00:00:00"/>
    <x v="1"/>
    <n v="101.34228187919463"/>
  </r>
  <r>
    <s v="MEM088"/>
    <x v="4"/>
    <n v="214000"/>
    <n v="3"/>
    <n v="2"/>
    <n v="1540"/>
    <n v="1984"/>
    <d v="2026-02-06T00:00:00"/>
    <x v="0"/>
    <n v="138.96103896103895"/>
  </r>
  <r>
    <s v="MEM089"/>
    <x v="2"/>
    <n v="185500"/>
    <n v="4"/>
    <n v="2"/>
    <n v="1670"/>
    <n v="1982"/>
    <d v="2026-02-11T00:00:00"/>
    <x v="0"/>
    <n v="111.07784431137725"/>
  </r>
  <r>
    <s v="MEM090"/>
    <x v="3"/>
    <n v="236000"/>
    <n v="4"/>
    <n v="2.5"/>
    <n v="2020"/>
    <n v="1989"/>
    <d v="2026-02-16T00:00:00"/>
    <x v="1"/>
    <n v="116.83168316831683"/>
  </r>
  <r>
    <s v="MEM091"/>
    <x v="1"/>
    <n v="117000"/>
    <n v="3"/>
    <n v="1.5"/>
    <n v="1280"/>
    <n v="1967"/>
    <d v="2026-02-20T00:00:00"/>
    <x v="0"/>
    <n v="91.40625"/>
  </r>
  <r>
    <s v="MEM092"/>
    <x v="0"/>
    <n v="160500"/>
    <n v="4"/>
    <n v="2"/>
    <n v="1720"/>
    <n v="1979"/>
    <d v="2026-02-24T00:00:00"/>
    <x v="0"/>
    <n v="93.313953488372093"/>
  </r>
  <r>
    <s v="MEM093"/>
    <x v="4"/>
    <n v="226000"/>
    <n v="3"/>
    <n v="2"/>
    <n v="1610"/>
    <n v="1983"/>
    <d v="2026-02-28T00:00:00"/>
    <x v="1"/>
    <n v="140.3726708074534"/>
  </r>
  <r>
    <s v="MEM094"/>
    <x v="2"/>
    <n v="180000"/>
    <n v="3"/>
    <n v="2"/>
    <n v="1500"/>
    <n v="1980"/>
    <d v="2026-03-03T00:00:00"/>
    <x v="0"/>
    <n v="120"/>
  </r>
  <r>
    <s v="MEM095"/>
    <x v="3"/>
    <n v="251000"/>
    <n v="4"/>
    <n v="3"/>
    <n v="2250"/>
    <n v="1995"/>
    <d v="2026-03-08T00:00:00"/>
    <x v="1"/>
    <n v="111.55555555555556"/>
  </r>
  <r>
    <s v="MEM096"/>
    <x v="1"/>
    <n v="103500"/>
    <n v="2"/>
    <n v="1"/>
    <n v="1040"/>
    <n v="1961"/>
    <d v="2026-03-12T00:00:00"/>
    <x v="0"/>
    <n v="99.519230769230774"/>
  </r>
  <r>
    <s v="MEM097"/>
    <x v="0"/>
    <n v="146500"/>
    <n v="3"/>
    <n v="1.5"/>
    <n v="1380"/>
    <n v="1971"/>
    <d v="2026-03-17T00:00:00"/>
    <x v="1"/>
    <n v="106.15942028985508"/>
  </r>
  <r>
    <s v="MEM098"/>
    <x v="4"/>
    <n v="219500"/>
    <n v="3"/>
    <n v="2"/>
    <n v="1580"/>
    <n v="1985"/>
    <d v="2026-03-21T00:00:00"/>
    <x v="0"/>
    <n v="138.92405063291139"/>
  </r>
  <r>
    <s v="MEM099"/>
    <x v="2"/>
    <n v="190000"/>
    <n v="4"/>
    <n v="2"/>
    <n v="1700"/>
    <n v="1987"/>
    <d v="2026-03-25T00:00:00"/>
    <x v="0"/>
    <n v="111.76470588235294"/>
  </r>
  <r>
    <s v="MEM100"/>
    <x v="3"/>
    <n v="244000"/>
    <n v="4"/>
    <n v="2.5"/>
    <n v="2050"/>
    <n v="1991"/>
    <d v="2026-03-29T00:00:00"/>
    <x v="1"/>
    <n v="119.024390243902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3F7F2C-B035-4082-BC5C-7561358276D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ZIP" colHeaderCaption="Occupant">
  <location ref="A3:D10" firstHeaderRow="1" firstDataRow="2" firstDataCol="1"/>
  <pivotFields count="9">
    <pivotField dataField="1" showAll="0"/>
    <pivotField axis="axisRow" showAll="0">
      <items count="6">
        <item x="2"/>
        <item x="3"/>
        <item x="4"/>
        <item x="1"/>
        <item x="0"/>
        <item t="default"/>
      </items>
    </pivotField>
    <pivotField showAll="0"/>
    <pivotField showAll="0"/>
    <pivotField showAll="0"/>
    <pivotField showAll="0"/>
    <pivotField showAll="0"/>
    <pivotField numFmtId="14" showAll="0"/>
    <pivotField axis="axisCol" showAll="0">
      <items count="3">
        <item x="0"/>
        <item x="1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Investor vs Owner " fld="0" subtotal="count" baseField="0" baseItem="0"/>
  </dataFields>
  <formats count="1">
    <format dxfId="20">
      <pivotArea type="origin" dataOnly="0" labelOnly="1" outline="0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CF730E-F0F0-4D78-9723-BCCFD85DA004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 rowHeaderCaption="ZIP" colHeaderCaption="">
  <location ref="A3:B9" firstHeaderRow="1" firstDataRow="2" firstDataCol="1"/>
  <pivotFields count="9">
    <pivotField showAll="0"/>
    <pivotField axis="axisRow" showAll="0">
      <items count="6">
        <item x="2"/>
        <item x="3"/>
        <item x="4"/>
        <item x="1"/>
        <item x="0"/>
        <item t="default"/>
      </items>
    </pivotField>
    <pivotField dataField="1" showAll="0"/>
    <pivotField showAll="0"/>
    <pivotField showAll="0"/>
    <pivotField showAll="0"/>
    <pivotField showAll="0"/>
    <pivotField numFmtId="14" showAll="0"/>
    <pivotField axis="axisCol" showAll="0">
      <items count="3">
        <item x="0"/>
        <item h="1" x="1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Fields count="1">
    <field x="8"/>
  </colFields>
  <colItems count="1">
    <i>
      <x/>
    </i>
  </colItems>
  <dataFields count="1">
    <dataField name="Average of Sale Price" fld="2" subtotal="average" baseField="1" baseItem="0"/>
  </dataFields>
  <formats count="6">
    <format dxfId="19">
      <pivotArea outline="0" collapsedLevelsAreSubtotals="1" fieldPosition="0">
        <references count="1">
          <reference field="8" count="0" selected="0"/>
        </references>
      </pivotArea>
    </format>
    <format dxfId="18">
      <pivotArea field="8" type="button" dataOnly="0" labelOnly="1" outline="0" axis="axisCol" fieldPosition="0"/>
    </format>
    <format dxfId="17">
      <pivotArea dataOnly="0" labelOnly="1" fieldPosition="0">
        <references count="1">
          <reference field="8" count="0"/>
        </references>
      </pivotArea>
    </format>
    <format dxfId="16">
      <pivotArea grandCol="1" outline="0" collapsedLevelsAreSubtotals="1" fieldPosition="0"/>
    </format>
    <format dxfId="15">
      <pivotArea type="topRight" dataOnly="0" labelOnly="1" outline="0" fieldPosition="0"/>
    </format>
    <format dxfId="14">
      <pivotArea dataOnly="0" labelOnly="1" grandCol="1" outline="0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01FFF9-9E4C-4F87-ACD3-44A05AB49B36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 rowHeaderCaption="ZIP Code">
  <location ref="A3:B8" firstHeaderRow="1" firstDataRow="1" firstDataCol="1" rowPageCount="1" colPageCount="1"/>
  <pivotFields count="9">
    <pivotField showAll="0"/>
    <pivotField axis="axisRow" showAll="0">
      <items count="6">
        <item x="2"/>
        <item x="3"/>
        <item x="4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numFmtId="14" showAll="0"/>
    <pivotField axis="axisPage" showAll="0">
      <items count="3">
        <item x="0"/>
        <item x="1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Items count="1">
    <i/>
  </colItems>
  <pageFields count="1">
    <pageField fld="8" item="0" hier="-1"/>
  </pageFields>
  <dataFields count="1">
    <dataField name="Avg. Investor Home Size" fld="5" subtotal="average" baseField="1" baseItem="0" numFmtId="1"/>
  </dataFields>
  <formats count="3">
    <format dxfId="13">
      <pivotArea outline="0" collapsedLevelsAreSubtotals="1" fieldPosition="0"/>
    </format>
    <format dxfId="12">
      <pivotArea dataOnly="0" labelOnly="1" outline="0" fieldPosition="0">
        <references count="1">
          <reference field="8" count="0"/>
        </references>
      </pivotArea>
    </format>
    <format dxfId="1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7E6BD6-5D32-4C80-A844-C2983EE536D9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B8" firstHeaderRow="1" firstDataRow="1" firstDataCol="1" rowPageCount="1" colPageCount="1"/>
  <pivotFields count="9">
    <pivotField showAll="0"/>
    <pivotField axis="axisRow" showAll="0">
      <items count="6">
        <item x="2"/>
        <item x="3"/>
        <item x="4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numFmtId="14" showAll="0"/>
    <pivotField axis="axisPage" showAll="0">
      <items count="3">
        <item x="0"/>
        <item x="1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Items count="1">
    <i/>
  </colItems>
  <pageFields count="1">
    <pageField fld="8" item="0" hier="-1"/>
  </pageFields>
  <dataFields count="1">
    <dataField name="Average # of  Bedrooms" fld="3" subtotal="average" baseField="1" baseItem="0" numFmtId="1"/>
  </dataFields>
  <formats count="3">
    <format dxfId="10">
      <pivotArea outline="0" collapsedLevelsAreSubtotals="1" fieldPosition="0"/>
    </format>
    <format dxfId="9">
      <pivotArea dataOnly="0" labelOnly="1" outline="0" fieldPosition="0">
        <references count="1">
          <reference field="8" count="1">
            <x v="0"/>
          </reference>
        </references>
      </pivotArea>
    </format>
    <format dxfId="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7B7CF0-0950-4B58-8C7E-C21348524CF4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ZIP Code">
  <location ref="A3:B8" firstHeaderRow="1" firstDataRow="1" firstDataCol="1" rowPageCount="1" colPageCount="1"/>
  <pivotFields count="9">
    <pivotField showAll="0"/>
    <pivotField axis="axisRow" showAll="0">
      <items count="6">
        <item x="2"/>
        <item x="3"/>
        <item x="4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numFmtId="14" showAll="0"/>
    <pivotField axis="axisPage" showAll="0">
      <items count="3">
        <item x="0"/>
        <item x="1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Items count="1">
    <i/>
  </colItems>
  <pageFields count="1">
    <pageField fld="8" item="0" hier="-1"/>
  </pageFields>
  <dataFields count="1">
    <dataField name="Average Year_Built" fld="6" subtotal="average" baseField="1" baseItem="0" numFmtId="1"/>
  </dataFields>
  <formats count="3">
    <format dxfId="7">
      <pivotArea outline="0" collapsedLevelsAreSubtotals="1" fieldPosition="0"/>
    </format>
    <format dxfId="6">
      <pivotArea dataOnly="0" labelOnly="1" outline="0" fieldPosition="0">
        <references count="1">
          <reference field="8" count="1">
            <x v="0"/>
          </reference>
        </references>
      </pivotArea>
    </format>
    <format dxfId="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D54E45-C3FA-402A-931B-494103353301}" name="PivotTable6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C8" firstHeaderRow="0" firstDataRow="1" firstDataCol="1" rowPageCount="1" colPageCount="1"/>
  <pivotFields count="9">
    <pivotField showAll="0"/>
    <pivotField axis="axisRow" showAll="0">
      <items count="6">
        <item x="2"/>
        <item x="3"/>
        <item x="4"/>
        <item x="1"/>
        <item x="0"/>
        <item t="default"/>
      </items>
    </pivotField>
    <pivotField dataField="1" showAll="0"/>
    <pivotField showAll="0"/>
    <pivotField showAll="0"/>
    <pivotField dataField="1" showAll="0"/>
    <pivotField showAll="0"/>
    <pivotField numFmtId="14" showAll="0"/>
    <pivotField axis="axisPage" showAll="0">
      <items count="3">
        <item x="0"/>
        <item x="1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2">
    <i>
      <x/>
    </i>
    <i i="1">
      <x v="1"/>
    </i>
  </colItems>
  <pageFields count="1">
    <pageField fld="8" item="0" hier="-1"/>
  </pageFields>
  <dataFields count="2">
    <dataField name="Average Sale_Price" fld="2" subtotal="average" baseField="1" baseItem="0" numFmtId="164"/>
    <dataField name="Average Sq_Ft" fld="5" subtotal="average" baseField="1" baseItem="0" numFmtId="1"/>
  </dataFields>
  <formats count="5">
    <format dxfId="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">
      <pivotArea dataOnly="0" labelOnly="1" outline="0" fieldPosition="0">
        <references count="1">
          <reference field="8" count="1">
            <x v="0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13536A-F5AA-4085-B6DF-47C5A5C5F0E1}" name="PivotTable7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>
  <location ref="A3:B8" firstHeaderRow="1" firstDataRow="1" firstDataCol="1" rowPageCount="1" colPageCount="1"/>
  <pivotFields count="10">
    <pivotField showAll="0"/>
    <pivotField axis="axisRow" showAll="0">
      <items count="6">
        <item x="2"/>
        <item x="3"/>
        <item x="4"/>
        <item x="1"/>
        <item x="0"/>
        <item t="default"/>
      </items>
    </pivotField>
    <pivotField showAll="0"/>
    <pivotField showAll="0"/>
    <pivotField showAll="0"/>
    <pivotField showAll="0"/>
    <pivotField showAll="0"/>
    <pivotField numFmtId="14" showAll="0"/>
    <pivotField axis="axisPage" showAll="0">
      <items count="3">
        <item x="0"/>
        <item x="1"/>
        <item t="default"/>
      </items>
    </pivotField>
    <pivotField dataField="1" numFmtId="164" showAll="0"/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Items count="1">
    <i/>
  </colItems>
  <pageFields count="1">
    <pageField fld="8" item="0" hier="-1"/>
  </pageFields>
  <dataFields count="1">
    <dataField name="Average of Price_Per_Sq_Ft" fld="9" subtotal="average" baseField="1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22C38-D24F-438C-B45A-276D63363EBA}">
  <dimension ref="A2:D10"/>
  <sheetViews>
    <sheetView tabSelected="1" workbookViewId="0">
      <selection activeCell="A31" sqref="A31"/>
    </sheetView>
  </sheetViews>
  <sheetFormatPr defaultRowHeight="15" x14ac:dyDescent="0.25"/>
  <cols>
    <col min="1" max="1" width="20.140625" bestFit="1" customWidth="1"/>
    <col min="2" max="2" width="16.85546875" bestFit="1" customWidth="1"/>
    <col min="3" max="3" width="16" bestFit="1" customWidth="1"/>
    <col min="4" max="4" width="11.28515625" bestFit="1" customWidth="1"/>
  </cols>
  <sheetData>
    <row r="2" spans="1:4" x14ac:dyDescent="0.25">
      <c r="A2" s="8"/>
      <c r="B2" s="8"/>
      <c r="C2" s="8"/>
      <c r="D2" s="8"/>
    </row>
    <row r="3" spans="1:4" x14ac:dyDescent="0.25">
      <c r="A3" s="4" t="s">
        <v>115</v>
      </c>
      <c r="B3" s="2" t="s">
        <v>116</v>
      </c>
    </row>
    <row r="4" spans="1:4" x14ac:dyDescent="0.25">
      <c r="A4" s="2" t="s">
        <v>114</v>
      </c>
      <c r="B4" t="s">
        <v>10</v>
      </c>
      <c r="C4" t="s">
        <v>12</v>
      </c>
      <c r="D4" t="s">
        <v>112</v>
      </c>
    </row>
    <row r="5" spans="1:4" x14ac:dyDescent="0.25">
      <c r="A5" s="3">
        <v>38115</v>
      </c>
      <c r="B5">
        <v>17</v>
      </c>
      <c r="C5">
        <v>3</v>
      </c>
      <c r="D5">
        <v>20</v>
      </c>
    </row>
    <row r="6" spans="1:4" x14ac:dyDescent="0.25">
      <c r="A6" s="3">
        <v>38116</v>
      </c>
      <c r="B6">
        <v>2</v>
      </c>
      <c r="C6">
        <v>18</v>
      </c>
      <c r="D6">
        <v>20</v>
      </c>
    </row>
    <row r="7" spans="1:4" x14ac:dyDescent="0.25">
      <c r="A7" s="3">
        <v>38118</v>
      </c>
      <c r="B7">
        <v>8</v>
      </c>
      <c r="C7">
        <v>11</v>
      </c>
      <c r="D7">
        <v>19</v>
      </c>
    </row>
    <row r="8" spans="1:4" x14ac:dyDescent="0.25">
      <c r="A8" s="3">
        <v>38127</v>
      </c>
      <c r="B8">
        <v>19</v>
      </c>
      <c r="C8">
        <v>1</v>
      </c>
      <c r="D8">
        <v>20</v>
      </c>
    </row>
    <row r="9" spans="1:4" x14ac:dyDescent="0.25">
      <c r="A9" s="3">
        <v>38128</v>
      </c>
      <c r="B9">
        <v>13</v>
      </c>
      <c r="C9">
        <v>8</v>
      </c>
      <c r="D9">
        <v>21</v>
      </c>
    </row>
    <row r="10" spans="1:4" x14ac:dyDescent="0.25">
      <c r="A10" s="3" t="s">
        <v>112</v>
      </c>
      <c r="B10">
        <v>59</v>
      </c>
      <c r="C10">
        <v>41</v>
      </c>
      <c r="D10">
        <v>100</v>
      </c>
    </row>
  </sheetData>
  <mergeCells count="1">
    <mergeCell ref="A2:D2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D473D-BD95-4180-B741-3916D289A433}">
  <dimension ref="A3:C10"/>
  <sheetViews>
    <sheetView workbookViewId="0">
      <selection activeCell="A3" sqref="A3"/>
    </sheetView>
  </sheetViews>
  <sheetFormatPr defaultRowHeight="15" x14ac:dyDescent="0.25"/>
  <cols>
    <col min="1" max="1" width="20.42578125" bestFit="1" customWidth="1"/>
    <col min="2" max="2" width="11.140625" style="6" bestFit="1" customWidth="1"/>
    <col min="3" max="3" width="12" style="6" bestFit="1" customWidth="1"/>
  </cols>
  <sheetData>
    <row r="3" spans="1:3" x14ac:dyDescent="0.25">
      <c r="A3" s="2" t="s">
        <v>117</v>
      </c>
      <c r="B3" s="5" t="s">
        <v>113</v>
      </c>
      <c r="C3"/>
    </row>
    <row r="4" spans="1:3" x14ac:dyDescent="0.25">
      <c r="A4" s="2" t="s">
        <v>114</v>
      </c>
      <c r="B4" s="6" t="s">
        <v>10</v>
      </c>
      <c r="C4"/>
    </row>
    <row r="5" spans="1:3" x14ac:dyDescent="0.25">
      <c r="A5" s="3">
        <v>38115</v>
      </c>
      <c r="B5" s="6">
        <v>184088.23529411765</v>
      </c>
      <c r="C5"/>
    </row>
    <row r="6" spans="1:3" x14ac:dyDescent="0.25">
      <c r="A6" s="3">
        <v>38116</v>
      </c>
      <c r="B6" s="6">
        <v>240000</v>
      </c>
      <c r="C6"/>
    </row>
    <row r="7" spans="1:3" x14ac:dyDescent="0.25">
      <c r="A7" s="3">
        <v>38118</v>
      </c>
      <c r="B7" s="6">
        <v>210625</v>
      </c>
      <c r="C7"/>
    </row>
    <row r="8" spans="1:3" x14ac:dyDescent="0.25">
      <c r="A8" s="3">
        <v>38127</v>
      </c>
      <c r="B8" s="6">
        <v>109710.52631578948</v>
      </c>
      <c r="C8"/>
    </row>
    <row r="9" spans="1:3" x14ac:dyDescent="0.25">
      <c r="A9" s="3">
        <v>38128</v>
      </c>
      <c r="B9" s="6">
        <v>153730.76923076922</v>
      </c>
      <c r="C9"/>
    </row>
    <row r="10" spans="1:3" x14ac:dyDescent="0.25">
      <c r="B10"/>
      <c r="C10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6F275-A894-4F21-B1B6-64B993ED51C6}">
  <dimension ref="A1:B9"/>
  <sheetViews>
    <sheetView workbookViewId="0">
      <selection activeCell="I24" sqref="I24"/>
    </sheetView>
  </sheetViews>
  <sheetFormatPr defaultRowHeight="15" x14ac:dyDescent="0.25"/>
  <cols>
    <col min="1" max="1" width="11.28515625" bestFit="1" customWidth="1"/>
    <col min="2" max="2" width="23" style="7" bestFit="1" customWidth="1"/>
  </cols>
  <sheetData>
    <row r="1" spans="1:2" x14ac:dyDescent="0.25">
      <c r="A1" s="2" t="s">
        <v>8</v>
      </c>
      <c r="B1" s="7" t="s">
        <v>10</v>
      </c>
    </row>
    <row r="3" spans="1:2" x14ac:dyDescent="0.25">
      <c r="A3" s="2" t="s">
        <v>118</v>
      </c>
      <c r="B3" s="7" t="s">
        <v>119</v>
      </c>
    </row>
    <row r="4" spans="1:2" x14ac:dyDescent="0.25">
      <c r="A4" s="3">
        <v>38115</v>
      </c>
      <c r="B4" s="7">
        <v>1582.3529411764705</v>
      </c>
    </row>
    <row r="5" spans="1:2" x14ac:dyDescent="0.25">
      <c r="A5" s="3">
        <v>38116</v>
      </c>
      <c r="B5" s="7">
        <v>2200</v>
      </c>
    </row>
    <row r="6" spans="1:2" x14ac:dyDescent="0.25">
      <c r="A6" s="3">
        <v>38118</v>
      </c>
      <c r="B6" s="7">
        <v>1555</v>
      </c>
    </row>
    <row r="7" spans="1:2" x14ac:dyDescent="0.25">
      <c r="A7" s="3">
        <v>38127</v>
      </c>
      <c r="B7" s="7">
        <v>1193.6842105263158</v>
      </c>
    </row>
    <row r="8" spans="1:2" x14ac:dyDescent="0.25">
      <c r="A8" s="3">
        <v>38128</v>
      </c>
      <c r="B8" s="7">
        <v>1625.7692307692307</v>
      </c>
    </row>
    <row r="9" spans="1:2" x14ac:dyDescent="0.25">
      <c r="B9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78C52-4472-42D5-A625-44EA58D62822}">
  <dimension ref="A1:B8"/>
  <sheetViews>
    <sheetView workbookViewId="0">
      <selection activeCell="G24" sqref="G24"/>
    </sheetView>
  </sheetViews>
  <sheetFormatPr defaultRowHeight="15" x14ac:dyDescent="0.25"/>
  <cols>
    <col min="1" max="1" width="13.42578125" bestFit="1" customWidth="1"/>
    <col min="2" max="2" width="24" style="7" customWidth="1"/>
  </cols>
  <sheetData>
    <row r="1" spans="1:2" x14ac:dyDescent="0.25">
      <c r="A1" s="2" t="s">
        <v>8</v>
      </c>
      <c r="B1" s="7" t="s">
        <v>10</v>
      </c>
    </row>
    <row r="3" spans="1:2" x14ac:dyDescent="0.25">
      <c r="A3" s="2" t="s">
        <v>111</v>
      </c>
      <c r="B3" s="7" t="s">
        <v>120</v>
      </c>
    </row>
    <row r="4" spans="1:2" x14ac:dyDescent="0.25">
      <c r="A4" s="3">
        <v>38115</v>
      </c>
      <c r="B4" s="7">
        <v>3.4117647058823528</v>
      </c>
    </row>
    <row r="5" spans="1:2" x14ac:dyDescent="0.25">
      <c r="A5" s="3">
        <v>38116</v>
      </c>
      <c r="B5" s="7">
        <v>4</v>
      </c>
    </row>
    <row r="6" spans="1:2" x14ac:dyDescent="0.25">
      <c r="A6" s="3">
        <v>38118</v>
      </c>
      <c r="B6" s="7">
        <v>3</v>
      </c>
    </row>
    <row r="7" spans="1:2" x14ac:dyDescent="0.25">
      <c r="A7" s="3">
        <v>38127</v>
      </c>
      <c r="B7" s="7">
        <v>2.736842105263158</v>
      </c>
    </row>
    <row r="8" spans="1:2" x14ac:dyDescent="0.25">
      <c r="A8" s="3">
        <v>38128</v>
      </c>
      <c r="B8" s="7">
        <v>3.7692307692307692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0584C-C8D0-46C0-A90F-E34B8D0E1BCD}">
  <dimension ref="A1:B9"/>
  <sheetViews>
    <sheetView workbookViewId="0">
      <selection activeCell="B3" sqref="B3"/>
    </sheetView>
  </sheetViews>
  <sheetFormatPr defaultRowHeight="15" x14ac:dyDescent="0.25"/>
  <cols>
    <col min="1" max="1" width="11.28515625" bestFit="1" customWidth="1"/>
    <col min="2" max="2" width="17.85546875" style="7" bestFit="1" customWidth="1"/>
  </cols>
  <sheetData>
    <row r="1" spans="1:2" x14ac:dyDescent="0.25">
      <c r="A1" s="2" t="s">
        <v>8</v>
      </c>
      <c r="B1" s="7" t="s">
        <v>10</v>
      </c>
    </row>
    <row r="3" spans="1:2" x14ac:dyDescent="0.25">
      <c r="A3" s="2" t="s">
        <v>118</v>
      </c>
      <c r="B3" s="7" t="s">
        <v>121</v>
      </c>
    </row>
    <row r="4" spans="1:2" x14ac:dyDescent="0.25">
      <c r="A4" s="3">
        <v>38115</v>
      </c>
      <c r="B4" s="7">
        <v>1982</v>
      </c>
    </row>
    <row r="5" spans="1:2" x14ac:dyDescent="0.25">
      <c r="A5" s="3">
        <v>38116</v>
      </c>
      <c r="B5" s="7">
        <v>1993.5</v>
      </c>
    </row>
    <row r="6" spans="1:2" x14ac:dyDescent="0.25">
      <c r="A6" s="3">
        <v>38118</v>
      </c>
      <c r="B6" s="7">
        <v>1983.375</v>
      </c>
    </row>
    <row r="7" spans="1:2" x14ac:dyDescent="0.25">
      <c r="A7" s="3">
        <v>38127</v>
      </c>
      <c r="B7" s="7">
        <v>1964.1578947368421</v>
      </c>
    </row>
    <row r="8" spans="1:2" x14ac:dyDescent="0.25">
      <c r="A8" s="3">
        <v>38128</v>
      </c>
      <c r="B8" s="7">
        <v>1975.9230769230769</v>
      </c>
    </row>
    <row r="9" spans="1:2" x14ac:dyDescent="0.25">
      <c r="B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3FFA0-D241-4161-855D-0AE441EF81D8}">
  <dimension ref="A1:C8"/>
  <sheetViews>
    <sheetView workbookViewId="0">
      <selection activeCell="J36" sqref="J36"/>
    </sheetView>
  </sheetViews>
  <sheetFormatPr defaultRowHeight="15" x14ac:dyDescent="0.25"/>
  <cols>
    <col min="1" max="1" width="13.42578125" bestFit="1" customWidth="1"/>
    <col min="2" max="2" width="18.140625" style="6" bestFit="1" customWidth="1"/>
    <col min="3" max="3" width="13.5703125" style="7" bestFit="1" customWidth="1"/>
  </cols>
  <sheetData>
    <row r="1" spans="1:3" x14ac:dyDescent="0.25">
      <c r="A1" s="2" t="s">
        <v>8</v>
      </c>
      <c r="B1" s="6" t="s">
        <v>10</v>
      </c>
    </row>
    <row r="3" spans="1:3" x14ac:dyDescent="0.25">
      <c r="A3" s="2" t="s">
        <v>111</v>
      </c>
      <c r="B3" s="6" t="s">
        <v>122</v>
      </c>
      <c r="C3" s="7" t="s">
        <v>123</v>
      </c>
    </row>
    <row r="4" spans="1:3" x14ac:dyDescent="0.25">
      <c r="A4" s="3">
        <v>38115</v>
      </c>
      <c r="B4" s="6">
        <v>184088.23529411765</v>
      </c>
      <c r="C4" s="7">
        <v>1582.3529411764705</v>
      </c>
    </row>
    <row r="5" spans="1:3" x14ac:dyDescent="0.25">
      <c r="A5" s="3">
        <v>38116</v>
      </c>
      <c r="B5" s="6">
        <v>240000</v>
      </c>
      <c r="C5" s="7">
        <v>2200</v>
      </c>
    </row>
    <row r="6" spans="1:3" x14ac:dyDescent="0.25">
      <c r="A6" s="3">
        <v>38118</v>
      </c>
      <c r="B6" s="6">
        <v>210625</v>
      </c>
      <c r="C6" s="7">
        <v>1555</v>
      </c>
    </row>
    <row r="7" spans="1:3" x14ac:dyDescent="0.25">
      <c r="A7" s="3">
        <v>38127</v>
      </c>
      <c r="B7" s="6">
        <v>109710.52631578948</v>
      </c>
      <c r="C7" s="7">
        <v>1193.6842105263158</v>
      </c>
    </row>
    <row r="8" spans="1:3" x14ac:dyDescent="0.25">
      <c r="A8" s="3">
        <v>38128</v>
      </c>
      <c r="B8" s="6">
        <v>153730.76923076922</v>
      </c>
      <c r="C8" s="7">
        <v>1625.7692307692307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99CDA-E801-41AD-8F77-FCF3AD51471C}">
  <dimension ref="A1:B8"/>
  <sheetViews>
    <sheetView topLeftCell="A4" workbookViewId="0">
      <selection activeCell="A30" sqref="A30:XFD30"/>
    </sheetView>
  </sheetViews>
  <sheetFormatPr defaultRowHeight="15" x14ac:dyDescent="0.25"/>
  <cols>
    <col min="1" max="1" width="13.42578125" bestFit="1" customWidth="1"/>
    <col min="2" max="2" width="25.5703125" bestFit="1" customWidth="1"/>
  </cols>
  <sheetData>
    <row r="1" spans="1:2" x14ac:dyDescent="0.25">
      <c r="A1" s="2" t="s">
        <v>8</v>
      </c>
      <c r="B1" t="s">
        <v>10</v>
      </c>
    </row>
    <row r="3" spans="1:2" x14ac:dyDescent="0.25">
      <c r="A3" s="2" t="s">
        <v>111</v>
      </c>
      <c r="B3" t="s">
        <v>125</v>
      </c>
    </row>
    <row r="4" spans="1:2" x14ac:dyDescent="0.25">
      <c r="A4" s="3">
        <v>38115</v>
      </c>
      <c r="B4" s="6">
        <v>116.64235185401624</v>
      </c>
    </row>
    <row r="5" spans="1:2" x14ac:dyDescent="0.25">
      <c r="A5" s="3">
        <v>38116</v>
      </c>
      <c r="B5" s="6">
        <v>109.11044973544975</v>
      </c>
    </row>
    <row r="6" spans="1:2" x14ac:dyDescent="0.25">
      <c r="A6" s="3">
        <v>38118</v>
      </c>
      <c r="B6" s="6">
        <v>135.47129563626655</v>
      </c>
    </row>
    <row r="7" spans="1:2" x14ac:dyDescent="0.25">
      <c r="A7" s="3">
        <v>38127</v>
      </c>
      <c r="B7" s="6">
        <v>92.065455360447288</v>
      </c>
    </row>
    <row r="8" spans="1:2" x14ac:dyDescent="0.25">
      <c r="A8" s="3">
        <v>38128</v>
      </c>
      <c r="B8" s="6">
        <v>94.671353098764655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F52B2-11A0-4649-B523-C7972F19D82C}">
  <dimension ref="A1:O6"/>
  <sheetViews>
    <sheetView workbookViewId="0">
      <selection activeCell="T5" sqref="T5"/>
    </sheetView>
  </sheetViews>
  <sheetFormatPr defaultRowHeight="15" x14ac:dyDescent="0.25"/>
  <sheetData>
    <row r="1" spans="1:15" ht="31.5" x14ac:dyDescent="0.5">
      <c r="A1" s="9" t="s">
        <v>126</v>
      </c>
    </row>
    <row r="2" spans="1:15" x14ac:dyDescent="0.25">
      <c r="A2" s="10" t="s">
        <v>131</v>
      </c>
    </row>
    <row r="4" spans="1:15" x14ac:dyDescent="0.25">
      <c r="A4" s="11" t="s">
        <v>127</v>
      </c>
      <c r="B4" s="12"/>
      <c r="C4" s="12"/>
      <c r="E4" s="11" t="s">
        <v>128</v>
      </c>
      <c r="F4" s="12"/>
      <c r="G4" s="12"/>
      <c r="I4" s="11" t="s">
        <v>129</v>
      </c>
      <c r="J4" s="12"/>
      <c r="K4" s="12"/>
      <c r="M4" s="11" t="s">
        <v>130</v>
      </c>
      <c r="N4" s="12"/>
      <c r="O4" s="12"/>
    </row>
    <row r="5" spans="1:15" x14ac:dyDescent="0.25">
      <c r="A5" s="12"/>
      <c r="B5" s="12"/>
      <c r="C5" s="12"/>
      <c r="E5" s="12"/>
      <c r="F5" s="12"/>
      <c r="G5" s="12"/>
      <c r="I5" s="12"/>
      <c r="J5" s="12"/>
      <c r="K5" s="12"/>
      <c r="M5" s="12"/>
      <c r="N5" s="12"/>
      <c r="O5" s="12"/>
    </row>
    <row r="6" spans="1:15" x14ac:dyDescent="0.25">
      <c r="A6" s="12"/>
      <c r="B6" s="12"/>
      <c r="C6" s="12"/>
      <c r="E6" s="12"/>
      <c r="F6" s="12"/>
      <c r="G6" s="12"/>
      <c r="I6" s="12"/>
      <c r="J6" s="12"/>
      <c r="K6" s="12"/>
      <c r="M6" s="12"/>
      <c r="N6" s="12"/>
      <c r="O6" s="12"/>
    </row>
  </sheetData>
  <mergeCells count="4">
    <mergeCell ref="A4:C6"/>
    <mergeCell ref="E4:G6"/>
    <mergeCell ref="I4:K6"/>
    <mergeCell ref="M4:O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30220-0E90-46B4-9CA8-8F1413270E32}">
  <dimension ref="A1:J101"/>
  <sheetViews>
    <sheetView workbookViewId="0">
      <selection activeCell="M12" sqref="M12"/>
    </sheetView>
  </sheetViews>
  <sheetFormatPr defaultRowHeight="15" x14ac:dyDescent="0.25"/>
  <cols>
    <col min="1" max="1" width="17" customWidth="1"/>
    <col min="3" max="3" width="13.42578125" customWidth="1"/>
    <col min="7" max="7" width="12.140625" customWidth="1"/>
    <col min="8" max="8" width="16.140625" customWidth="1"/>
    <col min="9" max="9" width="20" customWidth="1"/>
    <col min="10" max="10" width="18.28515625" style="6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6" t="s">
        <v>124</v>
      </c>
    </row>
    <row r="2" spans="1:10" x14ac:dyDescent="0.25">
      <c r="A2" t="s">
        <v>9</v>
      </c>
      <c r="B2">
        <v>38128</v>
      </c>
      <c r="C2">
        <v>142500</v>
      </c>
      <c r="D2">
        <v>3</v>
      </c>
      <c r="E2">
        <v>2</v>
      </c>
      <c r="F2">
        <v>1450</v>
      </c>
      <c r="G2">
        <v>1972</v>
      </c>
      <c r="H2" s="1">
        <v>45665</v>
      </c>
      <c r="I2" t="s">
        <v>10</v>
      </c>
      <c r="J2" s="6">
        <f>C2/F2</f>
        <v>98.275862068965523</v>
      </c>
    </row>
    <row r="3" spans="1:10" x14ac:dyDescent="0.25">
      <c r="A3" t="s">
        <v>11</v>
      </c>
      <c r="B3">
        <v>38127</v>
      </c>
      <c r="C3">
        <v>118000</v>
      </c>
      <c r="D3">
        <v>3</v>
      </c>
      <c r="E3">
        <v>1.5</v>
      </c>
      <c r="F3">
        <v>1320</v>
      </c>
      <c r="G3">
        <v>1968</v>
      </c>
      <c r="H3" s="1">
        <v>45669</v>
      </c>
      <c r="I3" t="s">
        <v>12</v>
      </c>
      <c r="J3" s="6">
        <f t="shared" ref="J3:J66" si="0">C3/F3</f>
        <v>89.393939393939391</v>
      </c>
    </row>
    <row r="4" spans="1:10" x14ac:dyDescent="0.25">
      <c r="A4" t="s">
        <v>13</v>
      </c>
      <c r="B4">
        <v>38128</v>
      </c>
      <c r="C4">
        <v>155000</v>
      </c>
      <c r="D4">
        <v>4</v>
      </c>
      <c r="E4">
        <v>2</v>
      </c>
      <c r="F4">
        <v>1680</v>
      </c>
      <c r="G4">
        <v>1975</v>
      </c>
      <c r="H4" s="1">
        <v>45675</v>
      </c>
      <c r="I4" t="s">
        <v>10</v>
      </c>
      <c r="J4" s="6">
        <f t="shared" si="0"/>
        <v>92.261904761904759</v>
      </c>
    </row>
    <row r="5" spans="1:10" x14ac:dyDescent="0.25">
      <c r="A5" t="s">
        <v>14</v>
      </c>
      <c r="B5">
        <v>38115</v>
      </c>
      <c r="C5">
        <v>185000</v>
      </c>
      <c r="D5">
        <v>3</v>
      </c>
      <c r="E5">
        <v>2</v>
      </c>
      <c r="F5">
        <v>1540</v>
      </c>
      <c r="G5">
        <v>1984</v>
      </c>
      <c r="H5" s="1">
        <v>45679</v>
      </c>
      <c r="I5" t="s">
        <v>12</v>
      </c>
      <c r="J5" s="6">
        <f t="shared" si="0"/>
        <v>120.12987012987013</v>
      </c>
    </row>
    <row r="6" spans="1:10" x14ac:dyDescent="0.25">
      <c r="A6" t="s">
        <v>15</v>
      </c>
      <c r="B6">
        <v>38116</v>
      </c>
      <c r="C6">
        <v>210000</v>
      </c>
      <c r="D6">
        <v>4</v>
      </c>
      <c r="E6">
        <v>2.5</v>
      </c>
      <c r="F6">
        <v>1920</v>
      </c>
      <c r="G6">
        <v>1988</v>
      </c>
      <c r="H6" s="1">
        <v>45686</v>
      </c>
      <c r="I6" t="s">
        <v>12</v>
      </c>
      <c r="J6" s="6">
        <f t="shared" si="0"/>
        <v>109.375</v>
      </c>
    </row>
    <row r="7" spans="1:10" x14ac:dyDescent="0.25">
      <c r="A7" t="s">
        <v>16</v>
      </c>
      <c r="B7">
        <v>38127</v>
      </c>
      <c r="C7">
        <v>105000</v>
      </c>
      <c r="D7">
        <v>3</v>
      </c>
      <c r="E7">
        <v>1</v>
      </c>
      <c r="F7">
        <v>1180</v>
      </c>
      <c r="G7">
        <v>1962</v>
      </c>
      <c r="H7" s="1">
        <v>45691</v>
      </c>
      <c r="I7" t="s">
        <v>10</v>
      </c>
      <c r="J7" s="6">
        <f t="shared" si="0"/>
        <v>88.983050847457633</v>
      </c>
    </row>
    <row r="8" spans="1:10" x14ac:dyDescent="0.25">
      <c r="A8" t="s">
        <v>17</v>
      </c>
      <c r="B8">
        <v>38128</v>
      </c>
      <c r="C8">
        <v>139500</v>
      </c>
      <c r="D8">
        <v>3</v>
      </c>
      <c r="E8">
        <v>2</v>
      </c>
      <c r="F8">
        <v>1410</v>
      </c>
      <c r="G8">
        <v>1970</v>
      </c>
      <c r="H8" s="1">
        <v>45695</v>
      </c>
      <c r="I8" t="s">
        <v>10</v>
      </c>
      <c r="J8" s="6">
        <f t="shared" si="0"/>
        <v>98.936170212765958</v>
      </c>
    </row>
    <row r="9" spans="1:10" x14ac:dyDescent="0.25">
      <c r="A9" t="s">
        <v>18</v>
      </c>
      <c r="B9">
        <v>38118</v>
      </c>
      <c r="C9">
        <v>198000</v>
      </c>
      <c r="D9">
        <v>3</v>
      </c>
      <c r="E9">
        <v>2</v>
      </c>
      <c r="F9">
        <v>1600</v>
      </c>
      <c r="G9">
        <v>1982</v>
      </c>
      <c r="H9" s="1">
        <v>45699</v>
      </c>
      <c r="I9" t="s">
        <v>12</v>
      </c>
      <c r="J9" s="6">
        <f t="shared" si="0"/>
        <v>123.75</v>
      </c>
    </row>
    <row r="10" spans="1:10" x14ac:dyDescent="0.25">
      <c r="A10" t="s">
        <v>19</v>
      </c>
      <c r="B10">
        <v>38115</v>
      </c>
      <c r="C10">
        <v>172000</v>
      </c>
      <c r="D10">
        <v>3</v>
      </c>
      <c r="E10">
        <v>2</v>
      </c>
      <c r="F10">
        <v>1490</v>
      </c>
      <c r="G10">
        <v>1980</v>
      </c>
      <c r="H10" s="1">
        <v>45703</v>
      </c>
      <c r="I10" t="s">
        <v>10</v>
      </c>
      <c r="J10" s="6">
        <f t="shared" si="0"/>
        <v>115.43624161073825</v>
      </c>
    </row>
    <row r="11" spans="1:10" x14ac:dyDescent="0.25">
      <c r="A11" t="s">
        <v>20</v>
      </c>
      <c r="B11">
        <v>38116</v>
      </c>
      <c r="C11">
        <v>225000</v>
      </c>
      <c r="D11">
        <v>4</v>
      </c>
      <c r="E11">
        <v>2.5</v>
      </c>
      <c r="F11">
        <v>2050</v>
      </c>
      <c r="G11">
        <v>1990</v>
      </c>
      <c r="H11" s="1">
        <v>45709</v>
      </c>
      <c r="I11" t="s">
        <v>12</v>
      </c>
      <c r="J11" s="6">
        <f t="shared" si="0"/>
        <v>109.7560975609756</v>
      </c>
    </row>
    <row r="12" spans="1:10" x14ac:dyDescent="0.25">
      <c r="A12" t="s">
        <v>21</v>
      </c>
      <c r="B12">
        <v>38127</v>
      </c>
      <c r="C12">
        <v>112500</v>
      </c>
      <c r="D12">
        <v>3</v>
      </c>
      <c r="E12">
        <v>1.5</v>
      </c>
      <c r="F12">
        <v>1250</v>
      </c>
      <c r="G12">
        <v>1965</v>
      </c>
      <c r="H12" s="1">
        <v>45718</v>
      </c>
      <c r="I12" t="s">
        <v>10</v>
      </c>
      <c r="J12" s="6">
        <f t="shared" si="0"/>
        <v>90</v>
      </c>
    </row>
    <row r="13" spans="1:10" x14ac:dyDescent="0.25">
      <c r="A13" t="s">
        <v>22</v>
      </c>
      <c r="B13">
        <v>38128</v>
      </c>
      <c r="C13">
        <v>148000</v>
      </c>
      <c r="D13">
        <v>4</v>
      </c>
      <c r="E13">
        <v>2</v>
      </c>
      <c r="F13">
        <v>1575</v>
      </c>
      <c r="G13">
        <v>1976</v>
      </c>
      <c r="H13" s="1">
        <v>45722</v>
      </c>
      <c r="I13" t="s">
        <v>10</v>
      </c>
      <c r="J13" s="6">
        <f t="shared" si="0"/>
        <v>93.968253968253961</v>
      </c>
    </row>
    <row r="14" spans="1:10" x14ac:dyDescent="0.25">
      <c r="A14" t="s">
        <v>23</v>
      </c>
      <c r="B14">
        <v>38118</v>
      </c>
      <c r="C14">
        <v>215000</v>
      </c>
      <c r="D14">
        <v>4</v>
      </c>
      <c r="E14">
        <v>2.5</v>
      </c>
      <c r="F14">
        <v>1980</v>
      </c>
      <c r="G14">
        <v>1986</v>
      </c>
      <c r="H14" s="1">
        <v>45726</v>
      </c>
      <c r="I14" t="s">
        <v>12</v>
      </c>
      <c r="J14" s="6">
        <f t="shared" si="0"/>
        <v>108.58585858585859</v>
      </c>
    </row>
    <row r="15" spans="1:10" x14ac:dyDescent="0.25">
      <c r="A15" t="s">
        <v>24</v>
      </c>
      <c r="B15">
        <v>38115</v>
      </c>
      <c r="C15">
        <v>189000</v>
      </c>
      <c r="D15">
        <v>3</v>
      </c>
      <c r="E15">
        <v>2</v>
      </c>
      <c r="F15">
        <v>1620</v>
      </c>
      <c r="G15">
        <v>1983</v>
      </c>
      <c r="H15" s="1">
        <v>45730</v>
      </c>
      <c r="I15" t="s">
        <v>10</v>
      </c>
      <c r="J15" s="6">
        <f t="shared" si="0"/>
        <v>116.66666666666667</v>
      </c>
    </row>
    <row r="16" spans="1:10" x14ac:dyDescent="0.25">
      <c r="A16" t="s">
        <v>25</v>
      </c>
      <c r="B16">
        <v>38116</v>
      </c>
      <c r="C16">
        <v>235000</v>
      </c>
      <c r="D16">
        <v>4</v>
      </c>
      <c r="E16">
        <v>3</v>
      </c>
      <c r="F16">
        <v>2180</v>
      </c>
      <c r="G16">
        <v>1992</v>
      </c>
      <c r="H16" s="1">
        <v>45735</v>
      </c>
      <c r="I16" t="s">
        <v>12</v>
      </c>
      <c r="J16" s="6">
        <f t="shared" si="0"/>
        <v>107.79816513761467</v>
      </c>
    </row>
    <row r="17" spans="1:10" x14ac:dyDescent="0.25">
      <c r="A17" t="s">
        <v>26</v>
      </c>
      <c r="B17">
        <v>38127</v>
      </c>
      <c r="C17">
        <v>99000</v>
      </c>
      <c r="D17">
        <v>2</v>
      </c>
      <c r="E17">
        <v>1</v>
      </c>
      <c r="F17">
        <v>1050</v>
      </c>
      <c r="G17">
        <v>1960</v>
      </c>
      <c r="H17" s="1">
        <v>45740</v>
      </c>
      <c r="I17" t="s">
        <v>10</v>
      </c>
      <c r="J17" s="6">
        <f t="shared" si="0"/>
        <v>94.285714285714292</v>
      </c>
    </row>
    <row r="18" spans="1:10" x14ac:dyDescent="0.25">
      <c r="A18" t="s">
        <v>27</v>
      </c>
      <c r="B18">
        <v>38128</v>
      </c>
      <c r="C18">
        <v>132000</v>
      </c>
      <c r="D18">
        <v>3</v>
      </c>
      <c r="E18">
        <v>1.5</v>
      </c>
      <c r="F18">
        <v>1280</v>
      </c>
      <c r="G18">
        <v>1969</v>
      </c>
      <c r="H18" s="1">
        <v>45744</v>
      </c>
      <c r="I18" t="s">
        <v>12</v>
      </c>
      <c r="J18" s="6">
        <f t="shared" si="0"/>
        <v>103.125</v>
      </c>
    </row>
    <row r="19" spans="1:10" x14ac:dyDescent="0.25">
      <c r="A19" t="s">
        <v>28</v>
      </c>
      <c r="B19">
        <v>38118</v>
      </c>
      <c r="C19">
        <v>205000</v>
      </c>
      <c r="D19">
        <v>3</v>
      </c>
      <c r="E19">
        <v>2</v>
      </c>
      <c r="F19">
        <v>1510</v>
      </c>
      <c r="G19">
        <v>1981</v>
      </c>
      <c r="H19" s="1">
        <v>45750</v>
      </c>
      <c r="I19" t="s">
        <v>10</v>
      </c>
      <c r="J19" s="6">
        <f t="shared" si="0"/>
        <v>135.76158940397352</v>
      </c>
    </row>
    <row r="20" spans="1:10" x14ac:dyDescent="0.25">
      <c r="A20" t="s">
        <v>29</v>
      </c>
      <c r="B20">
        <v>38115</v>
      </c>
      <c r="C20">
        <v>178500</v>
      </c>
      <c r="D20">
        <v>3</v>
      </c>
      <c r="E20">
        <v>2</v>
      </c>
      <c r="F20">
        <v>1460</v>
      </c>
      <c r="G20">
        <v>1979</v>
      </c>
      <c r="H20" s="1">
        <v>45754</v>
      </c>
      <c r="I20" t="s">
        <v>10</v>
      </c>
      <c r="J20" s="6">
        <f t="shared" si="0"/>
        <v>122.26027397260275</v>
      </c>
    </row>
    <row r="21" spans="1:10" x14ac:dyDescent="0.25">
      <c r="A21" t="s">
        <v>30</v>
      </c>
      <c r="B21">
        <v>38116</v>
      </c>
      <c r="C21">
        <v>219000</v>
      </c>
      <c r="D21">
        <v>4</v>
      </c>
      <c r="E21">
        <v>2.5</v>
      </c>
      <c r="F21">
        <v>1880</v>
      </c>
      <c r="G21">
        <v>1987</v>
      </c>
      <c r="H21" s="1">
        <v>45758</v>
      </c>
      <c r="I21" t="s">
        <v>12</v>
      </c>
      <c r="J21" s="6">
        <f t="shared" si="0"/>
        <v>116.48936170212765</v>
      </c>
    </row>
    <row r="22" spans="1:10" x14ac:dyDescent="0.25">
      <c r="A22" t="s">
        <v>31</v>
      </c>
      <c r="B22">
        <v>38127</v>
      </c>
      <c r="C22">
        <v>125000</v>
      </c>
      <c r="D22">
        <v>3</v>
      </c>
      <c r="E22">
        <v>2</v>
      </c>
      <c r="F22">
        <v>1360</v>
      </c>
      <c r="G22">
        <v>1971</v>
      </c>
      <c r="H22" s="1">
        <v>45764</v>
      </c>
      <c r="I22" t="s">
        <v>10</v>
      </c>
      <c r="J22" s="6">
        <f t="shared" si="0"/>
        <v>91.911764705882348</v>
      </c>
    </row>
    <row r="23" spans="1:10" x14ac:dyDescent="0.25">
      <c r="A23" t="s">
        <v>32</v>
      </c>
      <c r="B23">
        <v>38128</v>
      </c>
      <c r="C23">
        <v>161000</v>
      </c>
      <c r="D23">
        <v>4</v>
      </c>
      <c r="E23">
        <v>2</v>
      </c>
      <c r="F23">
        <v>1710</v>
      </c>
      <c r="G23">
        <v>1977</v>
      </c>
      <c r="H23" s="1">
        <v>45768</v>
      </c>
      <c r="I23" t="s">
        <v>10</v>
      </c>
      <c r="J23" s="6">
        <f t="shared" si="0"/>
        <v>94.152046783625735</v>
      </c>
    </row>
    <row r="24" spans="1:10" x14ac:dyDescent="0.25">
      <c r="A24" t="s">
        <v>33</v>
      </c>
      <c r="B24">
        <v>38118</v>
      </c>
      <c r="C24">
        <v>227500</v>
      </c>
      <c r="D24">
        <v>4</v>
      </c>
      <c r="E24">
        <v>2.5</v>
      </c>
      <c r="F24">
        <v>2100</v>
      </c>
      <c r="G24">
        <v>1991</v>
      </c>
      <c r="H24" s="1">
        <v>45772</v>
      </c>
      <c r="I24" t="s">
        <v>12</v>
      </c>
      <c r="J24" s="6">
        <f t="shared" si="0"/>
        <v>108.33333333333333</v>
      </c>
    </row>
    <row r="25" spans="1:10" x14ac:dyDescent="0.25">
      <c r="A25" t="s">
        <v>34</v>
      </c>
      <c r="B25">
        <v>38115</v>
      </c>
      <c r="C25">
        <v>195000</v>
      </c>
      <c r="D25">
        <v>3</v>
      </c>
      <c r="E25">
        <v>2</v>
      </c>
      <c r="F25">
        <v>1580</v>
      </c>
      <c r="G25">
        <v>1985</v>
      </c>
      <c r="H25" s="1">
        <v>45779</v>
      </c>
      <c r="I25" t="s">
        <v>12</v>
      </c>
      <c r="J25" s="6">
        <f t="shared" si="0"/>
        <v>123.41772151898734</v>
      </c>
    </row>
    <row r="26" spans="1:10" x14ac:dyDescent="0.25">
      <c r="A26" t="s">
        <v>35</v>
      </c>
      <c r="B26">
        <v>38116</v>
      </c>
      <c r="C26">
        <v>242000</v>
      </c>
      <c r="D26">
        <v>4</v>
      </c>
      <c r="E26">
        <v>3</v>
      </c>
      <c r="F26">
        <v>2240</v>
      </c>
      <c r="G26">
        <v>1994</v>
      </c>
      <c r="H26" s="1">
        <v>45783</v>
      </c>
      <c r="I26" t="s">
        <v>10</v>
      </c>
      <c r="J26" s="6">
        <f t="shared" si="0"/>
        <v>108.03571428571429</v>
      </c>
    </row>
    <row r="27" spans="1:10" x14ac:dyDescent="0.25">
      <c r="A27" t="s">
        <v>36</v>
      </c>
      <c r="B27">
        <v>38127</v>
      </c>
      <c r="C27">
        <v>108000</v>
      </c>
      <c r="D27">
        <v>3</v>
      </c>
      <c r="E27">
        <v>1</v>
      </c>
      <c r="F27">
        <v>1200</v>
      </c>
      <c r="G27">
        <v>1963</v>
      </c>
      <c r="H27" s="1">
        <v>45787</v>
      </c>
      <c r="I27" t="s">
        <v>10</v>
      </c>
      <c r="J27" s="6">
        <f t="shared" si="0"/>
        <v>90</v>
      </c>
    </row>
    <row r="28" spans="1:10" x14ac:dyDescent="0.25">
      <c r="A28" t="s">
        <v>37</v>
      </c>
      <c r="B28">
        <v>38128</v>
      </c>
      <c r="C28">
        <v>145000</v>
      </c>
      <c r="D28">
        <v>3</v>
      </c>
      <c r="E28">
        <v>2</v>
      </c>
      <c r="F28">
        <v>1500</v>
      </c>
      <c r="G28">
        <v>1973</v>
      </c>
      <c r="H28" s="1">
        <v>45791</v>
      </c>
      <c r="I28" t="s">
        <v>12</v>
      </c>
      <c r="J28" s="6">
        <f t="shared" si="0"/>
        <v>96.666666666666671</v>
      </c>
    </row>
    <row r="29" spans="1:10" x14ac:dyDescent="0.25">
      <c r="A29" t="s">
        <v>38</v>
      </c>
      <c r="B29">
        <v>38118</v>
      </c>
      <c r="C29">
        <v>202000</v>
      </c>
      <c r="D29">
        <v>3</v>
      </c>
      <c r="E29">
        <v>2</v>
      </c>
      <c r="F29">
        <v>1550</v>
      </c>
      <c r="G29">
        <v>1980</v>
      </c>
      <c r="H29" s="1">
        <v>45796</v>
      </c>
      <c r="I29" t="s">
        <v>10</v>
      </c>
      <c r="J29" s="6">
        <f t="shared" si="0"/>
        <v>130.32258064516128</v>
      </c>
    </row>
    <row r="30" spans="1:10" x14ac:dyDescent="0.25">
      <c r="A30" t="s">
        <v>39</v>
      </c>
      <c r="B30">
        <v>38115</v>
      </c>
      <c r="C30">
        <v>181000</v>
      </c>
      <c r="D30">
        <v>4</v>
      </c>
      <c r="E30">
        <v>2</v>
      </c>
      <c r="F30">
        <v>1690</v>
      </c>
      <c r="G30">
        <v>1982</v>
      </c>
      <c r="H30" s="1">
        <v>45800</v>
      </c>
      <c r="I30" t="s">
        <v>10</v>
      </c>
      <c r="J30" s="6">
        <f t="shared" si="0"/>
        <v>107.10059171597634</v>
      </c>
    </row>
    <row r="31" spans="1:10" x14ac:dyDescent="0.25">
      <c r="A31" t="s">
        <v>40</v>
      </c>
      <c r="B31">
        <v>38116</v>
      </c>
      <c r="C31">
        <v>228000</v>
      </c>
      <c r="D31">
        <v>4</v>
      </c>
      <c r="E31">
        <v>2.5</v>
      </c>
      <c r="F31">
        <v>2010</v>
      </c>
      <c r="G31">
        <v>1989</v>
      </c>
      <c r="H31" s="1">
        <v>45805</v>
      </c>
      <c r="I31" t="s">
        <v>12</v>
      </c>
      <c r="J31" s="6">
        <f t="shared" si="0"/>
        <v>113.43283582089552</v>
      </c>
    </row>
    <row r="32" spans="1:10" x14ac:dyDescent="0.25">
      <c r="A32" t="s">
        <v>41</v>
      </c>
      <c r="B32">
        <v>38127</v>
      </c>
      <c r="C32">
        <v>115000</v>
      </c>
      <c r="D32">
        <v>3</v>
      </c>
      <c r="E32">
        <v>1.5</v>
      </c>
      <c r="F32">
        <v>1270</v>
      </c>
      <c r="G32">
        <v>1967</v>
      </c>
      <c r="H32" s="1">
        <v>45811</v>
      </c>
      <c r="I32" t="s">
        <v>10</v>
      </c>
      <c r="J32" s="6">
        <f t="shared" si="0"/>
        <v>90.551181102362207</v>
      </c>
    </row>
    <row r="33" spans="1:10" x14ac:dyDescent="0.25">
      <c r="A33" t="s">
        <v>42</v>
      </c>
      <c r="B33">
        <v>38128</v>
      </c>
      <c r="C33">
        <v>152000</v>
      </c>
      <c r="D33">
        <v>4</v>
      </c>
      <c r="E33">
        <v>2</v>
      </c>
      <c r="F33">
        <v>1630</v>
      </c>
      <c r="G33">
        <v>1978</v>
      </c>
      <c r="H33" s="1">
        <v>45815</v>
      </c>
      <c r="I33" t="s">
        <v>10</v>
      </c>
      <c r="J33" s="6">
        <f t="shared" si="0"/>
        <v>93.25153374233129</v>
      </c>
    </row>
    <row r="34" spans="1:10" x14ac:dyDescent="0.25">
      <c r="A34" t="s">
        <v>43</v>
      </c>
      <c r="B34">
        <v>38118</v>
      </c>
      <c r="C34">
        <v>218000</v>
      </c>
      <c r="D34">
        <v>3</v>
      </c>
      <c r="E34">
        <v>2</v>
      </c>
      <c r="F34">
        <v>1640</v>
      </c>
      <c r="G34">
        <v>1984</v>
      </c>
      <c r="H34" s="1">
        <v>45819</v>
      </c>
      <c r="I34" t="s">
        <v>12</v>
      </c>
      <c r="J34" s="6">
        <f t="shared" si="0"/>
        <v>132.92682926829269</v>
      </c>
    </row>
    <row r="35" spans="1:10" x14ac:dyDescent="0.25">
      <c r="A35" t="s">
        <v>44</v>
      </c>
      <c r="B35">
        <v>38115</v>
      </c>
      <c r="C35">
        <v>187500</v>
      </c>
      <c r="D35">
        <v>3</v>
      </c>
      <c r="E35">
        <v>2</v>
      </c>
      <c r="F35">
        <v>1520</v>
      </c>
      <c r="G35">
        <v>1981</v>
      </c>
      <c r="H35" s="1">
        <v>45824</v>
      </c>
      <c r="I35" t="s">
        <v>10</v>
      </c>
      <c r="J35" s="6">
        <f t="shared" si="0"/>
        <v>123.35526315789474</v>
      </c>
    </row>
    <row r="36" spans="1:10" x14ac:dyDescent="0.25">
      <c r="A36" t="s">
        <v>45</v>
      </c>
      <c r="B36">
        <v>38116</v>
      </c>
      <c r="C36">
        <v>249000</v>
      </c>
      <c r="D36">
        <v>4</v>
      </c>
      <c r="E36">
        <v>3</v>
      </c>
      <c r="F36">
        <v>2300</v>
      </c>
      <c r="G36">
        <v>1995</v>
      </c>
      <c r="H36" s="1">
        <v>45828</v>
      </c>
      <c r="I36" t="s">
        <v>12</v>
      </c>
      <c r="J36" s="6">
        <f t="shared" si="0"/>
        <v>108.26086956521739</v>
      </c>
    </row>
    <row r="37" spans="1:10" x14ac:dyDescent="0.25">
      <c r="A37" t="s">
        <v>46</v>
      </c>
      <c r="B37">
        <v>38127</v>
      </c>
      <c r="C37">
        <v>101000</v>
      </c>
      <c r="D37">
        <v>2</v>
      </c>
      <c r="E37">
        <v>1</v>
      </c>
      <c r="F37">
        <v>1080</v>
      </c>
      <c r="G37">
        <v>1961</v>
      </c>
      <c r="H37" s="1">
        <v>45833</v>
      </c>
      <c r="I37" t="s">
        <v>10</v>
      </c>
      <c r="J37" s="6">
        <f t="shared" si="0"/>
        <v>93.518518518518519</v>
      </c>
    </row>
    <row r="38" spans="1:10" x14ac:dyDescent="0.25">
      <c r="A38" t="s">
        <v>47</v>
      </c>
      <c r="B38">
        <v>38128</v>
      </c>
      <c r="C38">
        <v>137500</v>
      </c>
      <c r="D38">
        <v>3</v>
      </c>
      <c r="E38">
        <v>1.5</v>
      </c>
      <c r="F38">
        <v>1340</v>
      </c>
      <c r="G38">
        <v>1970</v>
      </c>
      <c r="H38" s="1">
        <v>45837</v>
      </c>
      <c r="I38" t="s">
        <v>12</v>
      </c>
      <c r="J38" s="6">
        <f t="shared" si="0"/>
        <v>102.61194029850746</v>
      </c>
    </row>
    <row r="39" spans="1:10" x14ac:dyDescent="0.25">
      <c r="A39" t="s">
        <v>48</v>
      </c>
      <c r="B39">
        <v>38118</v>
      </c>
      <c r="C39">
        <v>209000</v>
      </c>
      <c r="D39">
        <v>3</v>
      </c>
      <c r="E39">
        <v>2</v>
      </c>
      <c r="F39">
        <v>1580</v>
      </c>
      <c r="G39">
        <v>1983</v>
      </c>
      <c r="H39" s="1">
        <v>45841</v>
      </c>
      <c r="I39" t="s">
        <v>10</v>
      </c>
      <c r="J39" s="6">
        <f t="shared" si="0"/>
        <v>132.27848101265823</v>
      </c>
    </row>
    <row r="40" spans="1:10" x14ac:dyDescent="0.25">
      <c r="A40" t="s">
        <v>49</v>
      </c>
      <c r="B40">
        <v>38115</v>
      </c>
      <c r="C40">
        <v>176000</v>
      </c>
      <c r="D40">
        <v>3</v>
      </c>
      <c r="E40">
        <v>2</v>
      </c>
      <c r="F40">
        <v>1450</v>
      </c>
      <c r="G40">
        <v>1978</v>
      </c>
      <c r="H40" s="1">
        <v>45846</v>
      </c>
      <c r="I40" t="s">
        <v>10</v>
      </c>
      <c r="J40" s="6">
        <f t="shared" si="0"/>
        <v>121.37931034482759</v>
      </c>
    </row>
    <row r="41" spans="1:10" x14ac:dyDescent="0.25">
      <c r="A41" t="s">
        <v>50</v>
      </c>
      <c r="B41">
        <v>38116</v>
      </c>
      <c r="C41">
        <v>221000</v>
      </c>
      <c r="D41">
        <v>4</v>
      </c>
      <c r="E41">
        <v>2.5</v>
      </c>
      <c r="F41">
        <v>1940</v>
      </c>
      <c r="G41">
        <v>1988</v>
      </c>
      <c r="H41" s="1">
        <v>45850</v>
      </c>
      <c r="I41" t="s">
        <v>12</v>
      </c>
      <c r="J41" s="6">
        <f t="shared" si="0"/>
        <v>113.91752577319588</v>
      </c>
    </row>
    <row r="42" spans="1:10" x14ac:dyDescent="0.25">
      <c r="A42" t="s">
        <v>51</v>
      </c>
      <c r="B42">
        <v>38127</v>
      </c>
      <c r="C42">
        <v>119000</v>
      </c>
      <c r="D42">
        <v>3</v>
      </c>
      <c r="E42">
        <v>2</v>
      </c>
      <c r="F42">
        <v>1310</v>
      </c>
      <c r="G42">
        <v>1966</v>
      </c>
      <c r="H42" s="1">
        <v>45855</v>
      </c>
      <c r="I42" t="s">
        <v>10</v>
      </c>
      <c r="J42" s="6">
        <f t="shared" si="0"/>
        <v>90.839694656488547</v>
      </c>
    </row>
    <row r="43" spans="1:10" x14ac:dyDescent="0.25">
      <c r="A43" t="s">
        <v>52</v>
      </c>
      <c r="B43">
        <v>38128</v>
      </c>
      <c r="C43">
        <v>158000</v>
      </c>
      <c r="D43">
        <v>4</v>
      </c>
      <c r="E43">
        <v>2</v>
      </c>
      <c r="F43">
        <v>1700</v>
      </c>
      <c r="G43">
        <v>1976</v>
      </c>
      <c r="H43" s="1">
        <v>45859</v>
      </c>
      <c r="I43" t="s">
        <v>10</v>
      </c>
      <c r="J43" s="6">
        <f t="shared" si="0"/>
        <v>92.941176470588232</v>
      </c>
    </row>
    <row r="44" spans="1:10" x14ac:dyDescent="0.25">
      <c r="A44" t="s">
        <v>53</v>
      </c>
      <c r="B44">
        <v>38118</v>
      </c>
      <c r="C44">
        <v>231000</v>
      </c>
      <c r="D44">
        <v>4</v>
      </c>
      <c r="E44">
        <v>2.5</v>
      </c>
      <c r="F44">
        <v>2020</v>
      </c>
      <c r="G44">
        <v>1990</v>
      </c>
      <c r="H44" s="1">
        <v>45864</v>
      </c>
      <c r="I44" t="s">
        <v>12</v>
      </c>
      <c r="J44" s="6">
        <f t="shared" si="0"/>
        <v>114.35643564356435</v>
      </c>
    </row>
    <row r="45" spans="1:10" x14ac:dyDescent="0.25">
      <c r="A45" t="s">
        <v>54</v>
      </c>
      <c r="B45">
        <v>38115</v>
      </c>
      <c r="C45">
        <v>184000</v>
      </c>
      <c r="D45">
        <v>3</v>
      </c>
      <c r="E45">
        <v>2</v>
      </c>
      <c r="F45">
        <v>1510</v>
      </c>
      <c r="G45">
        <v>1982</v>
      </c>
      <c r="H45" s="1">
        <v>45868</v>
      </c>
      <c r="I45" t="s">
        <v>12</v>
      </c>
      <c r="J45" s="6">
        <f t="shared" si="0"/>
        <v>121.85430463576159</v>
      </c>
    </row>
    <row r="46" spans="1:10" x14ac:dyDescent="0.25">
      <c r="A46" t="s">
        <v>55</v>
      </c>
      <c r="B46">
        <v>38116</v>
      </c>
      <c r="C46">
        <v>238000</v>
      </c>
      <c r="D46">
        <v>4</v>
      </c>
      <c r="E46">
        <v>3</v>
      </c>
      <c r="F46">
        <v>2160</v>
      </c>
      <c r="G46">
        <v>1993</v>
      </c>
      <c r="H46" s="1">
        <v>45873</v>
      </c>
      <c r="I46" t="s">
        <v>10</v>
      </c>
      <c r="J46" s="6">
        <f t="shared" si="0"/>
        <v>110.18518518518519</v>
      </c>
    </row>
    <row r="47" spans="1:10" x14ac:dyDescent="0.25">
      <c r="A47" t="s">
        <v>56</v>
      </c>
      <c r="B47">
        <v>38127</v>
      </c>
      <c r="C47">
        <v>104000</v>
      </c>
      <c r="D47">
        <v>3</v>
      </c>
      <c r="E47">
        <v>1</v>
      </c>
      <c r="F47">
        <v>1160</v>
      </c>
      <c r="G47">
        <v>1964</v>
      </c>
      <c r="H47" s="1">
        <v>45878</v>
      </c>
      <c r="I47" t="s">
        <v>10</v>
      </c>
      <c r="J47" s="6">
        <f t="shared" si="0"/>
        <v>89.65517241379311</v>
      </c>
    </row>
    <row r="48" spans="1:10" x14ac:dyDescent="0.25">
      <c r="A48" t="s">
        <v>57</v>
      </c>
      <c r="B48">
        <v>38128</v>
      </c>
      <c r="C48">
        <v>149000</v>
      </c>
      <c r="D48">
        <v>3</v>
      </c>
      <c r="E48">
        <v>2</v>
      </c>
      <c r="F48">
        <v>1470</v>
      </c>
      <c r="G48">
        <v>1974</v>
      </c>
      <c r="H48" s="1">
        <v>45882</v>
      </c>
      <c r="I48" t="s">
        <v>12</v>
      </c>
      <c r="J48" s="6">
        <f t="shared" si="0"/>
        <v>101.36054421768708</v>
      </c>
    </row>
    <row r="49" spans="1:10" x14ac:dyDescent="0.25">
      <c r="A49" t="s">
        <v>58</v>
      </c>
      <c r="B49">
        <v>38118</v>
      </c>
      <c r="C49">
        <v>212000</v>
      </c>
      <c r="D49">
        <v>3</v>
      </c>
      <c r="E49">
        <v>2</v>
      </c>
      <c r="F49">
        <v>1590</v>
      </c>
      <c r="G49">
        <v>1985</v>
      </c>
      <c r="H49" s="1">
        <v>45886</v>
      </c>
      <c r="I49" t="s">
        <v>10</v>
      </c>
      <c r="J49" s="6">
        <f t="shared" si="0"/>
        <v>133.33333333333334</v>
      </c>
    </row>
    <row r="50" spans="1:10" x14ac:dyDescent="0.25">
      <c r="A50" t="s">
        <v>59</v>
      </c>
      <c r="B50">
        <v>38115</v>
      </c>
      <c r="C50">
        <v>192000</v>
      </c>
      <c r="D50">
        <v>4</v>
      </c>
      <c r="E50">
        <v>2</v>
      </c>
      <c r="F50">
        <v>1720</v>
      </c>
      <c r="G50">
        <v>1986</v>
      </c>
      <c r="H50" s="1">
        <v>45891</v>
      </c>
      <c r="I50" t="s">
        <v>10</v>
      </c>
      <c r="J50" s="6">
        <f t="shared" si="0"/>
        <v>111.62790697674419</v>
      </c>
    </row>
    <row r="51" spans="1:10" x14ac:dyDescent="0.25">
      <c r="A51" t="s">
        <v>60</v>
      </c>
      <c r="B51">
        <v>38116</v>
      </c>
      <c r="C51">
        <v>245000</v>
      </c>
      <c r="D51">
        <v>4</v>
      </c>
      <c r="E51">
        <v>2.5</v>
      </c>
      <c r="F51">
        <v>2070</v>
      </c>
      <c r="G51">
        <v>1991</v>
      </c>
      <c r="H51" s="1">
        <v>45896</v>
      </c>
      <c r="I51" t="s">
        <v>12</v>
      </c>
      <c r="J51" s="6">
        <f t="shared" si="0"/>
        <v>118.35748792270532</v>
      </c>
    </row>
    <row r="52" spans="1:10" x14ac:dyDescent="0.25">
      <c r="A52" t="s">
        <v>61</v>
      </c>
      <c r="B52">
        <v>38127</v>
      </c>
      <c r="C52">
        <v>110000</v>
      </c>
      <c r="D52">
        <v>3</v>
      </c>
      <c r="E52">
        <v>1.5</v>
      </c>
      <c r="F52">
        <v>1230</v>
      </c>
      <c r="G52">
        <v>1965</v>
      </c>
      <c r="H52" s="1">
        <v>45902</v>
      </c>
      <c r="I52" t="s">
        <v>10</v>
      </c>
      <c r="J52" s="6">
        <f t="shared" si="0"/>
        <v>89.430894308943095</v>
      </c>
    </row>
    <row r="53" spans="1:10" x14ac:dyDescent="0.25">
      <c r="A53" t="s">
        <v>62</v>
      </c>
      <c r="B53">
        <v>38128</v>
      </c>
      <c r="C53">
        <v>155500</v>
      </c>
      <c r="D53">
        <v>4</v>
      </c>
      <c r="E53">
        <v>2</v>
      </c>
      <c r="F53">
        <v>1660</v>
      </c>
      <c r="G53">
        <v>1979</v>
      </c>
      <c r="H53" s="1">
        <v>45906</v>
      </c>
      <c r="I53" t="s">
        <v>10</v>
      </c>
      <c r="J53" s="6">
        <f t="shared" si="0"/>
        <v>93.674698795180717</v>
      </c>
    </row>
    <row r="54" spans="1:10" x14ac:dyDescent="0.25">
      <c r="A54" t="s">
        <v>63</v>
      </c>
      <c r="B54">
        <v>38118</v>
      </c>
      <c r="C54">
        <v>220000</v>
      </c>
      <c r="D54">
        <v>3</v>
      </c>
      <c r="E54">
        <v>2</v>
      </c>
      <c r="F54">
        <v>1620</v>
      </c>
      <c r="G54">
        <v>1982</v>
      </c>
      <c r="H54" s="1">
        <v>45910</v>
      </c>
      <c r="I54" t="s">
        <v>12</v>
      </c>
      <c r="J54" s="6">
        <f t="shared" si="0"/>
        <v>135.80246913580248</v>
      </c>
    </row>
    <row r="55" spans="1:10" x14ac:dyDescent="0.25">
      <c r="A55" t="s">
        <v>64</v>
      </c>
      <c r="B55">
        <v>38115</v>
      </c>
      <c r="C55">
        <v>179500</v>
      </c>
      <c r="D55">
        <v>3</v>
      </c>
      <c r="E55">
        <v>2</v>
      </c>
      <c r="F55">
        <v>1480</v>
      </c>
      <c r="G55">
        <v>1980</v>
      </c>
      <c r="H55" s="1">
        <v>45915</v>
      </c>
      <c r="I55" t="s">
        <v>10</v>
      </c>
      <c r="J55" s="6">
        <f t="shared" si="0"/>
        <v>121.28378378378379</v>
      </c>
    </row>
    <row r="56" spans="1:10" x14ac:dyDescent="0.25">
      <c r="A56" t="s">
        <v>65</v>
      </c>
      <c r="B56">
        <v>38116</v>
      </c>
      <c r="C56">
        <v>252000</v>
      </c>
      <c r="D56">
        <v>4</v>
      </c>
      <c r="E56">
        <v>3</v>
      </c>
      <c r="F56">
        <v>2260</v>
      </c>
      <c r="G56">
        <v>1996</v>
      </c>
      <c r="H56" s="1">
        <v>45920</v>
      </c>
      <c r="I56" t="s">
        <v>12</v>
      </c>
      <c r="J56" s="6">
        <f t="shared" si="0"/>
        <v>111.50442477876106</v>
      </c>
    </row>
    <row r="57" spans="1:10" x14ac:dyDescent="0.25">
      <c r="A57" t="s">
        <v>66</v>
      </c>
      <c r="B57">
        <v>38127</v>
      </c>
      <c r="C57">
        <v>97000</v>
      </c>
      <c r="D57">
        <v>2</v>
      </c>
      <c r="E57">
        <v>1</v>
      </c>
      <c r="F57">
        <v>1020</v>
      </c>
      <c r="G57">
        <v>1959</v>
      </c>
      <c r="H57" s="1">
        <v>45924</v>
      </c>
      <c r="I57" t="s">
        <v>10</v>
      </c>
      <c r="J57" s="6">
        <f t="shared" si="0"/>
        <v>95.098039215686271</v>
      </c>
    </row>
    <row r="58" spans="1:10" x14ac:dyDescent="0.25">
      <c r="A58" t="s">
        <v>67</v>
      </c>
      <c r="B58">
        <v>38128</v>
      </c>
      <c r="C58">
        <v>141000</v>
      </c>
      <c r="D58">
        <v>3</v>
      </c>
      <c r="E58">
        <v>1.5</v>
      </c>
      <c r="F58">
        <v>1290</v>
      </c>
      <c r="G58">
        <v>1971</v>
      </c>
      <c r="H58" s="1">
        <v>45929</v>
      </c>
      <c r="I58" t="s">
        <v>12</v>
      </c>
      <c r="J58" s="6">
        <f t="shared" si="0"/>
        <v>109.30232558139535</v>
      </c>
    </row>
    <row r="59" spans="1:10" x14ac:dyDescent="0.25">
      <c r="A59" t="s">
        <v>68</v>
      </c>
      <c r="B59">
        <v>38118</v>
      </c>
      <c r="C59">
        <v>207500</v>
      </c>
      <c r="D59">
        <v>3</v>
      </c>
      <c r="E59">
        <v>2</v>
      </c>
      <c r="F59">
        <v>1560</v>
      </c>
      <c r="G59">
        <v>1984</v>
      </c>
      <c r="H59" s="1">
        <v>45933</v>
      </c>
      <c r="I59" t="s">
        <v>10</v>
      </c>
      <c r="J59" s="6">
        <f t="shared" si="0"/>
        <v>133.01282051282053</v>
      </c>
    </row>
    <row r="60" spans="1:10" x14ac:dyDescent="0.25">
      <c r="A60" t="s">
        <v>69</v>
      </c>
      <c r="B60">
        <v>38115</v>
      </c>
      <c r="C60">
        <v>186000</v>
      </c>
      <c r="D60">
        <v>4</v>
      </c>
      <c r="E60">
        <v>2</v>
      </c>
      <c r="F60">
        <v>1650</v>
      </c>
      <c r="G60">
        <v>1983</v>
      </c>
      <c r="H60" s="1">
        <v>45938</v>
      </c>
      <c r="I60" t="s">
        <v>10</v>
      </c>
      <c r="J60" s="6">
        <f t="shared" si="0"/>
        <v>112.72727272727273</v>
      </c>
    </row>
    <row r="61" spans="1:10" x14ac:dyDescent="0.25">
      <c r="A61" t="s">
        <v>70</v>
      </c>
      <c r="B61">
        <v>38116</v>
      </c>
      <c r="C61">
        <v>232000</v>
      </c>
      <c r="D61">
        <v>4</v>
      </c>
      <c r="E61">
        <v>2.5</v>
      </c>
      <c r="F61">
        <v>1980</v>
      </c>
      <c r="G61">
        <v>1989</v>
      </c>
      <c r="H61" s="1">
        <v>45943</v>
      </c>
      <c r="I61" t="s">
        <v>12</v>
      </c>
      <c r="J61" s="6">
        <f t="shared" si="0"/>
        <v>117.17171717171718</v>
      </c>
    </row>
    <row r="62" spans="1:10" x14ac:dyDescent="0.25">
      <c r="A62" t="s">
        <v>71</v>
      </c>
      <c r="B62">
        <v>38127</v>
      </c>
      <c r="C62">
        <v>116000</v>
      </c>
      <c r="D62">
        <v>3</v>
      </c>
      <c r="E62">
        <v>1.5</v>
      </c>
      <c r="F62">
        <v>1260</v>
      </c>
      <c r="G62">
        <v>1967</v>
      </c>
      <c r="H62" s="1">
        <v>45948</v>
      </c>
      <c r="I62" t="s">
        <v>10</v>
      </c>
      <c r="J62" s="6">
        <f t="shared" si="0"/>
        <v>92.063492063492063</v>
      </c>
    </row>
    <row r="63" spans="1:10" x14ac:dyDescent="0.25">
      <c r="A63" t="s">
        <v>72</v>
      </c>
      <c r="B63">
        <v>38128</v>
      </c>
      <c r="C63">
        <v>163000</v>
      </c>
      <c r="D63">
        <v>4</v>
      </c>
      <c r="E63">
        <v>2</v>
      </c>
      <c r="F63">
        <v>1740</v>
      </c>
      <c r="G63">
        <v>1977</v>
      </c>
      <c r="H63" s="1">
        <v>45952</v>
      </c>
      <c r="I63" t="s">
        <v>10</v>
      </c>
      <c r="J63" s="6">
        <f t="shared" si="0"/>
        <v>93.678160919540232</v>
      </c>
    </row>
    <row r="64" spans="1:10" x14ac:dyDescent="0.25">
      <c r="A64" t="s">
        <v>73</v>
      </c>
      <c r="B64">
        <v>38118</v>
      </c>
      <c r="C64">
        <v>224000</v>
      </c>
      <c r="D64">
        <v>3</v>
      </c>
      <c r="E64">
        <v>2</v>
      </c>
      <c r="F64">
        <v>1600</v>
      </c>
      <c r="G64">
        <v>1981</v>
      </c>
      <c r="H64" s="1">
        <v>45957</v>
      </c>
      <c r="I64" t="s">
        <v>12</v>
      </c>
      <c r="J64" s="6">
        <f t="shared" si="0"/>
        <v>140</v>
      </c>
    </row>
    <row r="65" spans="1:10" x14ac:dyDescent="0.25">
      <c r="A65" t="s">
        <v>74</v>
      </c>
      <c r="B65">
        <v>38115</v>
      </c>
      <c r="C65">
        <v>191000</v>
      </c>
      <c r="D65">
        <v>3</v>
      </c>
      <c r="E65">
        <v>2</v>
      </c>
      <c r="F65">
        <v>1550</v>
      </c>
      <c r="G65">
        <v>1985</v>
      </c>
      <c r="H65" s="1">
        <v>45962</v>
      </c>
      <c r="I65" t="s">
        <v>10</v>
      </c>
      <c r="J65" s="6">
        <f t="shared" si="0"/>
        <v>123.2258064516129</v>
      </c>
    </row>
    <row r="66" spans="1:10" x14ac:dyDescent="0.25">
      <c r="A66" t="s">
        <v>75</v>
      </c>
      <c r="B66">
        <v>38116</v>
      </c>
      <c r="C66">
        <v>247000</v>
      </c>
      <c r="D66">
        <v>4</v>
      </c>
      <c r="E66">
        <v>3</v>
      </c>
      <c r="F66">
        <v>2200</v>
      </c>
      <c r="G66">
        <v>1994</v>
      </c>
      <c r="H66" s="1">
        <v>45967</v>
      </c>
      <c r="I66" t="s">
        <v>12</v>
      </c>
      <c r="J66" s="6">
        <f t="shared" si="0"/>
        <v>112.27272727272727</v>
      </c>
    </row>
    <row r="67" spans="1:10" x14ac:dyDescent="0.25">
      <c r="A67" t="s">
        <v>76</v>
      </c>
      <c r="B67">
        <v>38127</v>
      </c>
      <c r="C67">
        <v>107500</v>
      </c>
      <c r="D67">
        <v>3</v>
      </c>
      <c r="E67">
        <v>1</v>
      </c>
      <c r="F67">
        <v>1140</v>
      </c>
      <c r="G67">
        <v>1963</v>
      </c>
      <c r="H67" s="1">
        <v>45972</v>
      </c>
      <c r="I67" t="s">
        <v>10</v>
      </c>
      <c r="J67" s="6">
        <f t="shared" ref="J67:J101" si="1">C67/F67</f>
        <v>94.298245614035082</v>
      </c>
    </row>
    <row r="68" spans="1:10" x14ac:dyDescent="0.25">
      <c r="A68" t="s">
        <v>77</v>
      </c>
      <c r="B68">
        <v>38128</v>
      </c>
      <c r="C68">
        <v>147500</v>
      </c>
      <c r="D68">
        <v>3</v>
      </c>
      <c r="E68">
        <v>2</v>
      </c>
      <c r="F68">
        <v>1520</v>
      </c>
      <c r="G68">
        <v>1974</v>
      </c>
      <c r="H68" s="1">
        <v>45976</v>
      </c>
      <c r="I68" t="s">
        <v>10</v>
      </c>
      <c r="J68" s="6">
        <f t="shared" si="1"/>
        <v>97.03947368421052</v>
      </c>
    </row>
    <row r="69" spans="1:10" x14ac:dyDescent="0.25">
      <c r="A69" t="s">
        <v>78</v>
      </c>
      <c r="B69">
        <v>38118</v>
      </c>
      <c r="C69">
        <v>211000</v>
      </c>
      <c r="D69">
        <v>3</v>
      </c>
      <c r="E69">
        <v>2</v>
      </c>
      <c r="F69">
        <v>1570</v>
      </c>
      <c r="G69">
        <v>1983</v>
      </c>
      <c r="H69" s="1">
        <v>45981</v>
      </c>
      <c r="I69" t="s">
        <v>12</v>
      </c>
      <c r="J69" s="6">
        <f t="shared" si="1"/>
        <v>134.39490445859872</v>
      </c>
    </row>
    <row r="70" spans="1:10" x14ac:dyDescent="0.25">
      <c r="A70" t="s">
        <v>79</v>
      </c>
      <c r="B70">
        <v>38115</v>
      </c>
      <c r="C70">
        <v>183500</v>
      </c>
      <c r="D70">
        <v>4</v>
      </c>
      <c r="E70">
        <v>2</v>
      </c>
      <c r="F70">
        <v>1680</v>
      </c>
      <c r="G70">
        <v>1981</v>
      </c>
      <c r="H70" s="1">
        <v>45985</v>
      </c>
      <c r="I70" t="s">
        <v>10</v>
      </c>
      <c r="J70" s="6">
        <f t="shared" si="1"/>
        <v>109.22619047619048</v>
      </c>
    </row>
    <row r="71" spans="1:10" x14ac:dyDescent="0.25">
      <c r="A71" t="s">
        <v>80</v>
      </c>
      <c r="B71">
        <v>38116</v>
      </c>
      <c r="C71">
        <v>239000</v>
      </c>
      <c r="D71">
        <v>4</v>
      </c>
      <c r="E71">
        <v>2.5</v>
      </c>
      <c r="F71">
        <v>2040</v>
      </c>
      <c r="G71">
        <v>1990</v>
      </c>
      <c r="H71" s="1">
        <v>45990</v>
      </c>
      <c r="I71" t="s">
        <v>12</v>
      </c>
      <c r="J71" s="6">
        <f t="shared" si="1"/>
        <v>117.15686274509804</v>
      </c>
    </row>
    <row r="72" spans="1:10" x14ac:dyDescent="0.25">
      <c r="A72" t="s">
        <v>81</v>
      </c>
      <c r="B72">
        <v>38127</v>
      </c>
      <c r="C72">
        <v>113000</v>
      </c>
      <c r="D72">
        <v>3</v>
      </c>
      <c r="E72">
        <v>1.5</v>
      </c>
      <c r="F72">
        <v>1240</v>
      </c>
      <c r="G72">
        <v>1966</v>
      </c>
      <c r="H72" s="1">
        <v>45994</v>
      </c>
      <c r="I72" t="s">
        <v>10</v>
      </c>
      <c r="J72" s="6">
        <f t="shared" si="1"/>
        <v>91.129032258064512</v>
      </c>
    </row>
    <row r="73" spans="1:10" x14ac:dyDescent="0.25">
      <c r="A73" t="s">
        <v>82</v>
      </c>
      <c r="B73">
        <v>38128</v>
      </c>
      <c r="C73">
        <v>159000</v>
      </c>
      <c r="D73">
        <v>4</v>
      </c>
      <c r="E73">
        <v>2</v>
      </c>
      <c r="F73">
        <v>1690</v>
      </c>
      <c r="G73">
        <v>1978</v>
      </c>
      <c r="H73" s="1">
        <v>45998</v>
      </c>
      <c r="I73" t="s">
        <v>10</v>
      </c>
      <c r="J73" s="6">
        <f t="shared" si="1"/>
        <v>94.082840236686394</v>
      </c>
    </row>
    <row r="74" spans="1:10" x14ac:dyDescent="0.25">
      <c r="A74" t="s">
        <v>83</v>
      </c>
      <c r="B74">
        <v>38118</v>
      </c>
      <c r="C74">
        <v>229000</v>
      </c>
      <c r="D74">
        <v>4</v>
      </c>
      <c r="E74">
        <v>2.5</v>
      </c>
      <c r="F74">
        <v>2000</v>
      </c>
      <c r="G74">
        <v>1988</v>
      </c>
      <c r="H74" s="1">
        <v>46002</v>
      </c>
      <c r="I74" t="s">
        <v>12</v>
      </c>
      <c r="J74" s="6">
        <f t="shared" si="1"/>
        <v>114.5</v>
      </c>
    </row>
    <row r="75" spans="1:10" x14ac:dyDescent="0.25">
      <c r="A75" t="s">
        <v>84</v>
      </c>
      <c r="B75">
        <v>38115</v>
      </c>
      <c r="C75">
        <v>177000</v>
      </c>
      <c r="D75">
        <v>3</v>
      </c>
      <c r="E75">
        <v>2</v>
      </c>
      <c r="F75">
        <v>1440</v>
      </c>
      <c r="G75">
        <v>1977</v>
      </c>
      <c r="H75" s="1">
        <v>46006</v>
      </c>
      <c r="I75" t="s">
        <v>10</v>
      </c>
      <c r="J75" s="6">
        <f t="shared" si="1"/>
        <v>122.91666666666667</v>
      </c>
    </row>
    <row r="76" spans="1:10" x14ac:dyDescent="0.25">
      <c r="A76" t="s">
        <v>85</v>
      </c>
      <c r="B76">
        <v>38116</v>
      </c>
      <c r="C76">
        <v>255000</v>
      </c>
      <c r="D76">
        <v>4</v>
      </c>
      <c r="E76">
        <v>3</v>
      </c>
      <c r="F76">
        <v>2320</v>
      </c>
      <c r="G76">
        <v>1997</v>
      </c>
      <c r="H76" s="1">
        <v>46011</v>
      </c>
      <c r="I76" t="s">
        <v>12</v>
      </c>
      <c r="J76" s="6">
        <f t="shared" si="1"/>
        <v>109.91379310344827</v>
      </c>
    </row>
    <row r="77" spans="1:10" x14ac:dyDescent="0.25">
      <c r="A77" t="s">
        <v>86</v>
      </c>
      <c r="B77">
        <v>38127</v>
      </c>
      <c r="C77">
        <v>102000</v>
      </c>
      <c r="D77">
        <v>2</v>
      </c>
      <c r="E77">
        <v>1</v>
      </c>
      <c r="F77">
        <v>1070</v>
      </c>
      <c r="G77">
        <v>1960</v>
      </c>
      <c r="H77" s="1">
        <v>46014</v>
      </c>
      <c r="I77" t="s">
        <v>10</v>
      </c>
      <c r="J77" s="6">
        <f t="shared" si="1"/>
        <v>95.327102803738313</v>
      </c>
    </row>
    <row r="78" spans="1:10" x14ac:dyDescent="0.25">
      <c r="A78" t="s">
        <v>87</v>
      </c>
      <c r="B78">
        <v>38128</v>
      </c>
      <c r="C78">
        <v>143500</v>
      </c>
      <c r="D78">
        <v>3</v>
      </c>
      <c r="E78">
        <v>2</v>
      </c>
      <c r="F78">
        <v>1460</v>
      </c>
      <c r="G78">
        <v>1972</v>
      </c>
      <c r="H78" s="1">
        <v>46017</v>
      </c>
      <c r="I78" t="s">
        <v>12</v>
      </c>
      <c r="J78" s="6">
        <f t="shared" si="1"/>
        <v>98.287671232876718</v>
      </c>
    </row>
    <row r="79" spans="1:10" x14ac:dyDescent="0.25">
      <c r="A79" t="s">
        <v>88</v>
      </c>
      <c r="B79">
        <v>38118</v>
      </c>
      <c r="C79">
        <v>216000</v>
      </c>
      <c r="D79">
        <v>3</v>
      </c>
      <c r="E79">
        <v>2</v>
      </c>
      <c r="F79">
        <v>1530</v>
      </c>
      <c r="G79">
        <v>1985</v>
      </c>
      <c r="H79" s="1">
        <v>46019</v>
      </c>
      <c r="I79" t="s">
        <v>10</v>
      </c>
      <c r="J79" s="6">
        <f t="shared" si="1"/>
        <v>141.1764705882353</v>
      </c>
    </row>
    <row r="80" spans="1:10" x14ac:dyDescent="0.25">
      <c r="A80" t="s">
        <v>89</v>
      </c>
      <c r="B80">
        <v>38115</v>
      </c>
      <c r="C80">
        <v>188000</v>
      </c>
      <c r="D80">
        <v>4</v>
      </c>
      <c r="E80">
        <v>2</v>
      </c>
      <c r="F80">
        <v>1710</v>
      </c>
      <c r="G80">
        <v>1984</v>
      </c>
      <c r="H80" s="1">
        <v>46020</v>
      </c>
      <c r="I80" t="s">
        <v>10</v>
      </c>
      <c r="J80" s="6">
        <f t="shared" si="1"/>
        <v>109.94152046783626</v>
      </c>
    </row>
    <row r="81" spans="1:10" x14ac:dyDescent="0.25">
      <c r="A81" t="s">
        <v>90</v>
      </c>
      <c r="B81">
        <v>38116</v>
      </c>
      <c r="C81">
        <v>241000</v>
      </c>
      <c r="D81">
        <v>4</v>
      </c>
      <c r="E81">
        <v>2.5</v>
      </c>
      <c r="F81">
        <v>2060</v>
      </c>
      <c r="G81">
        <v>1992</v>
      </c>
      <c r="H81" s="1">
        <v>46021</v>
      </c>
      <c r="I81" t="s">
        <v>12</v>
      </c>
      <c r="J81" s="6">
        <f t="shared" si="1"/>
        <v>116.99029126213593</v>
      </c>
    </row>
    <row r="82" spans="1:10" x14ac:dyDescent="0.25">
      <c r="A82" t="s">
        <v>91</v>
      </c>
      <c r="B82">
        <v>38127</v>
      </c>
      <c r="C82">
        <v>121000</v>
      </c>
      <c r="D82">
        <v>3</v>
      </c>
      <c r="E82">
        <v>2</v>
      </c>
      <c r="F82">
        <v>1350</v>
      </c>
      <c r="G82">
        <v>1968</v>
      </c>
      <c r="H82" s="1">
        <v>46026</v>
      </c>
      <c r="I82" t="s">
        <v>10</v>
      </c>
      <c r="J82" s="6">
        <f t="shared" si="1"/>
        <v>89.629629629629633</v>
      </c>
    </row>
    <row r="83" spans="1:10" x14ac:dyDescent="0.25">
      <c r="A83" t="s">
        <v>92</v>
      </c>
      <c r="B83">
        <v>38128</v>
      </c>
      <c r="C83">
        <v>157000</v>
      </c>
      <c r="D83">
        <v>4</v>
      </c>
      <c r="E83">
        <v>2</v>
      </c>
      <c r="F83">
        <v>1650</v>
      </c>
      <c r="G83">
        <v>1976</v>
      </c>
      <c r="H83" s="1">
        <v>46030</v>
      </c>
      <c r="I83" t="s">
        <v>10</v>
      </c>
      <c r="J83" s="6">
        <f t="shared" si="1"/>
        <v>95.151515151515156</v>
      </c>
    </row>
    <row r="84" spans="1:10" x14ac:dyDescent="0.25">
      <c r="A84" t="s">
        <v>93</v>
      </c>
      <c r="B84">
        <v>38118</v>
      </c>
      <c r="C84">
        <v>222000</v>
      </c>
      <c r="D84">
        <v>3</v>
      </c>
      <c r="E84">
        <v>2</v>
      </c>
      <c r="F84">
        <v>1590</v>
      </c>
      <c r="G84">
        <v>1982</v>
      </c>
      <c r="H84" s="1">
        <v>46034</v>
      </c>
      <c r="I84" t="s">
        <v>12</v>
      </c>
      <c r="J84" s="6">
        <f t="shared" si="1"/>
        <v>139.62264150943398</v>
      </c>
    </row>
    <row r="85" spans="1:10" x14ac:dyDescent="0.25">
      <c r="A85" t="s">
        <v>94</v>
      </c>
      <c r="B85">
        <v>38115</v>
      </c>
      <c r="C85">
        <v>193000</v>
      </c>
      <c r="D85">
        <v>3</v>
      </c>
      <c r="E85">
        <v>2</v>
      </c>
      <c r="F85">
        <v>1570</v>
      </c>
      <c r="G85">
        <v>1986</v>
      </c>
      <c r="H85" s="1">
        <v>46039</v>
      </c>
      <c r="I85" t="s">
        <v>10</v>
      </c>
      <c r="J85" s="6">
        <f t="shared" si="1"/>
        <v>122.92993630573248</v>
      </c>
    </row>
    <row r="86" spans="1:10" x14ac:dyDescent="0.25">
      <c r="A86" t="s">
        <v>95</v>
      </c>
      <c r="B86">
        <v>38116</v>
      </c>
      <c r="C86">
        <v>248000</v>
      </c>
      <c r="D86">
        <v>4</v>
      </c>
      <c r="E86">
        <v>3</v>
      </c>
      <c r="F86">
        <v>2180</v>
      </c>
      <c r="G86">
        <v>1993</v>
      </c>
      <c r="H86" s="1">
        <v>46043</v>
      </c>
      <c r="I86" t="s">
        <v>12</v>
      </c>
      <c r="J86" s="6">
        <f t="shared" si="1"/>
        <v>113.76146788990826</v>
      </c>
    </row>
    <row r="87" spans="1:10" x14ac:dyDescent="0.25">
      <c r="A87" t="s">
        <v>96</v>
      </c>
      <c r="B87">
        <v>38127</v>
      </c>
      <c r="C87">
        <v>109000</v>
      </c>
      <c r="D87">
        <v>3</v>
      </c>
      <c r="E87">
        <v>1</v>
      </c>
      <c r="F87">
        <v>1190</v>
      </c>
      <c r="G87">
        <v>1964</v>
      </c>
      <c r="H87" s="1">
        <v>46048</v>
      </c>
      <c r="I87" t="s">
        <v>10</v>
      </c>
      <c r="J87" s="6">
        <f t="shared" si="1"/>
        <v>91.596638655462186</v>
      </c>
    </row>
    <row r="88" spans="1:10" x14ac:dyDescent="0.25">
      <c r="A88" t="s">
        <v>97</v>
      </c>
      <c r="B88">
        <v>38128</v>
      </c>
      <c r="C88">
        <v>151000</v>
      </c>
      <c r="D88">
        <v>3</v>
      </c>
      <c r="E88">
        <v>2</v>
      </c>
      <c r="F88">
        <v>1490</v>
      </c>
      <c r="G88">
        <v>1973</v>
      </c>
      <c r="H88" s="1">
        <v>46055</v>
      </c>
      <c r="I88" t="s">
        <v>12</v>
      </c>
      <c r="J88" s="6">
        <f t="shared" si="1"/>
        <v>101.34228187919463</v>
      </c>
    </row>
    <row r="89" spans="1:10" x14ac:dyDescent="0.25">
      <c r="A89" t="s">
        <v>98</v>
      </c>
      <c r="B89">
        <v>38118</v>
      </c>
      <c r="C89">
        <v>214000</v>
      </c>
      <c r="D89">
        <v>3</v>
      </c>
      <c r="E89">
        <v>2</v>
      </c>
      <c r="F89">
        <v>1540</v>
      </c>
      <c r="G89">
        <v>1984</v>
      </c>
      <c r="H89" s="1">
        <v>46059</v>
      </c>
      <c r="I89" t="s">
        <v>10</v>
      </c>
      <c r="J89" s="6">
        <f t="shared" si="1"/>
        <v>138.96103896103895</v>
      </c>
    </row>
    <row r="90" spans="1:10" x14ac:dyDescent="0.25">
      <c r="A90" t="s">
        <v>99</v>
      </c>
      <c r="B90">
        <v>38115</v>
      </c>
      <c r="C90">
        <v>185500</v>
      </c>
      <c r="D90">
        <v>4</v>
      </c>
      <c r="E90">
        <v>2</v>
      </c>
      <c r="F90">
        <v>1670</v>
      </c>
      <c r="G90">
        <v>1982</v>
      </c>
      <c r="H90" s="1">
        <v>46064</v>
      </c>
      <c r="I90" t="s">
        <v>10</v>
      </c>
      <c r="J90" s="6">
        <f t="shared" si="1"/>
        <v>111.07784431137725</v>
      </c>
    </row>
    <row r="91" spans="1:10" x14ac:dyDescent="0.25">
      <c r="A91" t="s">
        <v>100</v>
      </c>
      <c r="B91">
        <v>38116</v>
      </c>
      <c r="C91">
        <v>236000</v>
      </c>
      <c r="D91">
        <v>4</v>
      </c>
      <c r="E91">
        <v>2.5</v>
      </c>
      <c r="F91">
        <v>2020</v>
      </c>
      <c r="G91">
        <v>1989</v>
      </c>
      <c r="H91" s="1">
        <v>46069</v>
      </c>
      <c r="I91" t="s">
        <v>12</v>
      </c>
      <c r="J91" s="6">
        <f t="shared" si="1"/>
        <v>116.83168316831683</v>
      </c>
    </row>
    <row r="92" spans="1:10" x14ac:dyDescent="0.25">
      <c r="A92" t="s">
        <v>101</v>
      </c>
      <c r="B92">
        <v>38127</v>
      </c>
      <c r="C92">
        <v>117000</v>
      </c>
      <c r="D92">
        <v>3</v>
      </c>
      <c r="E92">
        <v>1.5</v>
      </c>
      <c r="F92">
        <v>1280</v>
      </c>
      <c r="G92">
        <v>1967</v>
      </c>
      <c r="H92" s="1">
        <v>46073</v>
      </c>
      <c r="I92" t="s">
        <v>10</v>
      </c>
      <c r="J92" s="6">
        <f t="shared" si="1"/>
        <v>91.40625</v>
      </c>
    </row>
    <row r="93" spans="1:10" x14ac:dyDescent="0.25">
      <c r="A93" t="s">
        <v>102</v>
      </c>
      <c r="B93">
        <v>38128</v>
      </c>
      <c r="C93">
        <v>160500</v>
      </c>
      <c r="D93">
        <v>4</v>
      </c>
      <c r="E93">
        <v>2</v>
      </c>
      <c r="F93">
        <v>1720</v>
      </c>
      <c r="G93">
        <v>1979</v>
      </c>
      <c r="H93" s="1">
        <v>46077</v>
      </c>
      <c r="I93" t="s">
        <v>10</v>
      </c>
      <c r="J93" s="6">
        <f t="shared" si="1"/>
        <v>93.313953488372093</v>
      </c>
    </row>
    <row r="94" spans="1:10" x14ac:dyDescent="0.25">
      <c r="A94" t="s">
        <v>103</v>
      </c>
      <c r="B94">
        <v>38118</v>
      </c>
      <c r="C94">
        <v>226000</v>
      </c>
      <c r="D94">
        <v>3</v>
      </c>
      <c r="E94">
        <v>2</v>
      </c>
      <c r="F94">
        <v>1610</v>
      </c>
      <c r="G94">
        <v>1983</v>
      </c>
      <c r="H94" s="1">
        <v>46081</v>
      </c>
      <c r="I94" t="s">
        <v>12</v>
      </c>
      <c r="J94" s="6">
        <f t="shared" si="1"/>
        <v>140.3726708074534</v>
      </c>
    </row>
    <row r="95" spans="1:10" x14ac:dyDescent="0.25">
      <c r="A95" t="s">
        <v>104</v>
      </c>
      <c r="B95">
        <v>38115</v>
      </c>
      <c r="C95">
        <v>180000</v>
      </c>
      <c r="D95">
        <v>3</v>
      </c>
      <c r="E95">
        <v>2</v>
      </c>
      <c r="F95">
        <v>1500</v>
      </c>
      <c r="G95">
        <v>1980</v>
      </c>
      <c r="H95" s="1">
        <v>46084</v>
      </c>
      <c r="I95" t="s">
        <v>10</v>
      </c>
      <c r="J95" s="6">
        <f t="shared" si="1"/>
        <v>120</v>
      </c>
    </row>
    <row r="96" spans="1:10" x14ac:dyDescent="0.25">
      <c r="A96" t="s">
        <v>105</v>
      </c>
      <c r="B96">
        <v>38116</v>
      </c>
      <c r="C96">
        <v>251000</v>
      </c>
      <c r="D96">
        <v>4</v>
      </c>
      <c r="E96">
        <v>3</v>
      </c>
      <c r="F96">
        <v>2250</v>
      </c>
      <c r="G96">
        <v>1995</v>
      </c>
      <c r="H96" s="1">
        <v>46089</v>
      </c>
      <c r="I96" t="s">
        <v>12</v>
      </c>
      <c r="J96" s="6">
        <f t="shared" si="1"/>
        <v>111.55555555555556</v>
      </c>
    </row>
    <row r="97" spans="1:10" x14ac:dyDescent="0.25">
      <c r="A97" t="s">
        <v>106</v>
      </c>
      <c r="B97">
        <v>38127</v>
      </c>
      <c r="C97">
        <v>103500</v>
      </c>
      <c r="D97">
        <v>2</v>
      </c>
      <c r="E97">
        <v>1</v>
      </c>
      <c r="F97">
        <v>1040</v>
      </c>
      <c r="G97">
        <v>1961</v>
      </c>
      <c r="H97" s="1">
        <v>46093</v>
      </c>
      <c r="I97" t="s">
        <v>10</v>
      </c>
      <c r="J97" s="6">
        <f t="shared" si="1"/>
        <v>99.519230769230774</v>
      </c>
    </row>
    <row r="98" spans="1:10" x14ac:dyDescent="0.25">
      <c r="A98" t="s">
        <v>107</v>
      </c>
      <c r="B98">
        <v>38128</v>
      </c>
      <c r="C98">
        <v>146500</v>
      </c>
      <c r="D98">
        <v>3</v>
      </c>
      <c r="E98">
        <v>1.5</v>
      </c>
      <c r="F98">
        <v>1380</v>
      </c>
      <c r="G98">
        <v>1971</v>
      </c>
      <c r="H98" s="1">
        <v>46098</v>
      </c>
      <c r="I98" t="s">
        <v>12</v>
      </c>
      <c r="J98" s="6">
        <f t="shared" si="1"/>
        <v>106.15942028985508</v>
      </c>
    </row>
    <row r="99" spans="1:10" x14ac:dyDescent="0.25">
      <c r="A99" t="s">
        <v>108</v>
      </c>
      <c r="B99">
        <v>38118</v>
      </c>
      <c r="C99">
        <v>219500</v>
      </c>
      <c r="D99">
        <v>3</v>
      </c>
      <c r="E99">
        <v>2</v>
      </c>
      <c r="F99">
        <v>1580</v>
      </c>
      <c r="G99">
        <v>1985</v>
      </c>
      <c r="H99" s="1">
        <v>46102</v>
      </c>
      <c r="I99" t="s">
        <v>10</v>
      </c>
      <c r="J99" s="6">
        <f t="shared" si="1"/>
        <v>138.92405063291139</v>
      </c>
    </row>
    <row r="100" spans="1:10" x14ac:dyDescent="0.25">
      <c r="A100" t="s">
        <v>109</v>
      </c>
      <c r="B100">
        <v>38115</v>
      </c>
      <c r="C100">
        <v>190000</v>
      </c>
      <c r="D100">
        <v>4</v>
      </c>
      <c r="E100">
        <v>2</v>
      </c>
      <c r="F100">
        <v>1700</v>
      </c>
      <c r="G100">
        <v>1987</v>
      </c>
      <c r="H100" s="1">
        <v>46106</v>
      </c>
      <c r="I100" t="s">
        <v>10</v>
      </c>
      <c r="J100" s="6">
        <f t="shared" si="1"/>
        <v>111.76470588235294</v>
      </c>
    </row>
    <row r="101" spans="1:10" x14ac:dyDescent="0.25">
      <c r="A101" t="s">
        <v>110</v>
      </c>
      <c r="B101">
        <v>38116</v>
      </c>
      <c r="C101">
        <v>244000</v>
      </c>
      <c r="D101">
        <v>4</v>
      </c>
      <c r="E101">
        <v>2.5</v>
      </c>
      <c r="F101">
        <v>2050</v>
      </c>
      <c r="G101">
        <v>1991</v>
      </c>
      <c r="H101" s="1">
        <v>46110</v>
      </c>
      <c r="I101" t="s">
        <v>12</v>
      </c>
      <c r="J101" s="6">
        <f t="shared" si="1"/>
        <v>119.02439024390245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Investor vs Owner Occupied</vt:lpstr>
      <vt:lpstr>Avg Sales Price</vt:lpstr>
      <vt:lpstr>Avg. Investor Home Size</vt:lpstr>
      <vt:lpstr>Avg. Bedrooms</vt:lpstr>
      <vt:lpstr>Avg Year Built</vt:lpstr>
      <vt:lpstr>Avg. Sales Price </vt:lpstr>
      <vt:lpstr>Avg Price per SQFT</vt:lpstr>
      <vt:lpstr>Dashboard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LaQuita Jordan</dc:creator>
  <cp:lastModifiedBy>LaQuita Jordan</cp:lastModifiedBy>
  <dcterms:created xsi:type="dcterms:W3CDTF">2026-08-29T19:25:21Z</dcterms:created>
  <dcterms:modified xsi:type="dcterms:W3CDTF">2026-08-30T12:33:36Z</dcterms:modified>
</cp:coreProperties>
</file>